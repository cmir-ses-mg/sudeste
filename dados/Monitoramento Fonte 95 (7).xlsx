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14902349\Downloads\"/>
    </mc:Choice>
  </mc:AlternateContent>
  <xr:revisionPtr revIDLastSave="0" documentId="8_{D47E3751-7643-4FD1-B8F2-D01363330CD5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Consolidado" sheetId="1" r:id="rId1"/>
    <sheet name="Dinâmica " sheetId="13" r:id="rId2"/>
    <sheet name="Plano Sudeste" sheetId="12" r:id="rId3"/>
  </sheets>
  <calcPr calcId="191028"/>
  <pivotCaches>
    <pivotCache cacheId="30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1" l="1"/>
  <c r="I8" i="13"/>
  <c r="M11" i="13"/>
  <c r="N7" i="13"/>
  <c r="N8" i="13"/>
  <c r="N9" i="13"/>
  <c r="N6" i="13"/>
  <c r="M10" i="13"/>
  <c r="L10" i="13"/>
  <c r="C46" i="12"/>
  <c r="N10" i="13" l="1"/>
</calcChain>
</file>

<file path=xl/sharedStrings.xml><?xml version="1.0" encoding="utf-8"?>
<sst xmlns="http://schemas.openxmlformats.org/spreadsheetml/2006/main" count="1078" uniqueCount="268">
  <si>
    <t>INSTRUMENTO</t>
  </si>
  <si>
    <t>NÚMERO DA INDICAÇÃO</t>
  </si>
  <si>
    <t>OBJETO</t>
  </si>
  <si>
    <t>MUNICÍPIO</t>
  </si>
  <si>
    <t>BENEFICIÁRIO</t>
  </si>
  <si>
    <t>VALOR DO PLEITO</t>
  </si>
  <si>
    <t>PADRINHO</t>
  </si>
  <si>
    <t>STATUS (03/07)</t>
  </si>
  <si>
    <t>ETAPA DE CELEBRAÇÃO</t>
  </si>
  <si>
    <t>DETALHAMENTO ETAPA DE CELEBRAÇÃO</t>
  </si>
  <si>
    <t>SEI</t>
  </si>
  <si>
    <t>FONTE FINAL</t>
  </si>
  <si>
    <t>ACORDO SUDESTE</t>
  </si>
  <si>
    <t>CONVÊNIO</t>
  </si>
  <si>
    <t>NA</t>
  </si>
  <si>
    <t>AQUISIÇÃO DE EQUIPAMENTOS</t>
  </si>
  <si>
    <t>JUIZ DE FORA</t>
  </si>
  <si>
    <t>HOSPITAL E MATERNIDADE THEREZINHA DE JESUS</t>
  </si>
  <si>
    <t>VICE- GOVERNADOR</t>
  </si>
  <si>
    <t>PAGO</t>
  </si>
  <si>
    <t>1320.01.0159179/2025-29</t>
  </si>
  <si>
    <t>Fonte 95</t>
  </si>
  <si>
    <t>SIM</t>
  </si>
  <si>
    <t>REALIZAÇÃO DE DIAGNÓSTICO DA SITUAÇÃO ATUAL, ESTUDO DE VIABILIDADE, ELABORAÇÃO DE PROJETO BÁSICO E DE PROJETOS EXECUTIVOS DE ENGENHARIA, VISANDO À IMPLANTAÇÃO DO NOVO HOSPITAL DE PRONTO SOCORRO NO EDIFÍCIO DESTINADO AO HOSPITAL REGIONAL EM JUIZ DE FORA/MG</t>
  </si>
  <si>
    <t>FUNDO MUNICIPAL DE JUIZ DE FORA</t>
  </si>
  <si>
    <t>1320.01.0158002/2025-89</t>
  </si>
  <si>
    <t>EQUIPAMENTO HOSPITALAR - AQUISICAO DE EQUIPAMENTOS HOSPITALARES - FUNDACAO CRISTIANO VARELLA - CNES 2195453 (RETOMADA DO PLANO DE TRABALHO 000109/2025)</t>
  </si>
  <si>
    <t>MURIAE</t>
  </si>
  <si>
    <t>FUNDACAO CRISTIANO VARELLA</t>
  </si>
  <si>
    <t xml:space="preserve">1320.01.0016390/2024-70 </t>
  </si>
  <si>
    <t>Fonte 10</t>
  </si>
  <si>
    <t>CONSTRUÇÃO DO ANEXO DO HOSPITAL</t>
  </si>
  <si>
    <t>SARZEDO</t>
  </si>
  <si>
    <t>MUNICIPIO DE SARZEDO</t>
  </si>
  <si>
    <t>DEPUTADA IONE PINHEIRO</t>
  </si>
  <si>
    <t>EM TRAMITAÇÃO</t>
  </si>
  <si>
    <t>ETAPA 2 - ANÁLISE DA ENGENHARIA - OBRA</t>
  </si>
  <si>
    <t>AGUARDANDO ANÁLISE DA DIFE APÓS ENVIO DAS DOCUMENTAÇÕES AJUSTADAS PELO MUNICÍPIO EM 01/07</t>
  </si>
  <si>
    <t>1630.01.0000878/2024-66 (INICIAL) / 1320.01.0125434/2024-26</t>
  </si>
  <si>
    <t>NAO</t>
  </si>
  <si>
    <t>CONSTRUÇÃO DE UPA</t>
  </si>
  <si>
    <t>UBA</t>
  </si>
  <si>
    <t>FUNDO MUNICIPAL DE UBA</t>
  </si>
  <si>
    <t>DEPUTADO NORALDINO</t>
  </si>
  <si>
    <t>ETAPA 2/3 - ANÁLISE ASSISTENCIAL/ENGENHARIA - OBRA</t>
  </si>
  <si>
    <t>OFÍCIO ENVIADO AO MUNICÍPIO EM 19/06 REITERANDO DILIGÊNCIAS DA DIFE</t>
  </si>
  <si>
    <t>1320.01.0147622/2025-19</t>
  </si>
  <si>
    <t>CONSTRUÇÃO DO HOSPITAL REGIONAL DE UNAÍ</t>
  </si>
  <si>
    <t>UNAI</t>
  </si>
  <si>
    <t>FUNDO MUNICIPAL DE UNAI</t>
  </si>
  <si>
    <t>OFÍCIO ENVIADO AO MUNICÍPIO EM 15/06 SOLICITANDO ADEQUAÇÕES NO PLANO DE TRABALHO</t>
  </si>
  <si>
    <t>1320.01.0070060/2024-63</t>
  </si>
  <si>
    <t>ACELERADOR LINEAR</t>
  </si>
  <si>
    <t>ASCOMCER</t>
  </si>
  <si>
    <t>ETAPA 7 - ASSINATURA E PUBLICAÇÃO DO CONVÊNIO</t>
  </si>
  <si>
    <t>PUBLICADO EM 03/07</t>
  </si>
  <si>
    <t>1320.01.0054560/2026-02</t>
  </si>
  <si>
    <t>OBRA E REFORMA</t>
  </si>
  <si>
    <t>EM ANÁLISE PRÉVIA</t>
  </si>
  <si>
    <t>16/06/2026 - RENVIADO PARA ANÁLISE PRÉVIA APÓS INFOS COMPLEMENTARES</t>
  </si>
  <si>
    <t>CONSTRUÇÃO HPS</t>
  </si>
  <si>
    <t>AGUARDA CONVÊNIO PROJETO</t>
  </si>
  <si>
    <t>EQUIPAMENTOS HOSPITALARES</t>
  </si>
  <si>
    <t>VALIDAR INDICAÇÃO</t>
  </si>
  <si>
    <t>EXECUÇÃO DIRETA</t>
  </si>
  <si>
    <t>HOSPITAL REGIONAL JOÃO PENIDO</t>
  </si>
  <si>
    <t>FHEMIG</t>
  </si>
  <si>
    <t>EM EXECUÇÃO</t>
  </si>
  <si>
    <t>RESOLUÇÃO</t>
  </si>
  <si>
    <t xml:space="preserve">ASPIRADOR ULTRASSÔNICO/ BISTURI ULTRASSÔNICO </t>
  </si>
  <si>
    <t>1320.01.0159466/2025-40</t>
  </si>
  <si>
    <t>ULTRASSOM DIAGNÓSTICO TRANSCRANIANO</t>
  </si>
  <si>
    <t>APARELHO DE ANESTESIA</t>
  </si>
  <si>
    <t>HOSPITAL UNIVERSITARIO DA UFJF</t>
  </si>
  <si>
    <t>DEPUTADO NIKOLAS FERREIRA</t>
  </si>
  <si>
    <t>APARELHO DE RAIOS X - FIXO DIGITAL</t>
  </si>
  <si>
    <t>ARCO CIRÚRGICO</t>
  </si>
  <si>
    <t>ESTERILIZADOR POR MÉTODOS FÍSICOS-QUÍMICOS</t>
  </si>
  <si>
    <t>KIT 5 CAMAS TIPO FAWLER ELÉTRICA</t>
  </si>
  <si>
    <t>KIT DE 5 MONITORES MULTIPARÂMETROS</t>
  </si>
  <si>
    <t>MESA CIRÚRGICA ELÉTRICA</t>
  </si>
  <si>
    <t>SISTEMA DE VÍDEO ENDOSCOPIA FLEXÍVEL</t>
  </si>
  <si>
    <t>SISTEMA DE VÍDEO ENDOSCOPIA RÍGIDA</t>
  </si>
  <si>
    <t>ULTRASSOM DIAGNÓSTICO COM APLICAÇÃO TRANSESOFÁGICA</t>
  </si>
  <si>
    <t>ULTRASSOM DIAGNÓSTICO SEM APLICAÇÃO TRANSESOFÁGICA</t>
  </si>
  <si>
    <t>VENTILADOR PULMONAR PRESSOMÉTRICO E VOLUMÉTRICO</t>
  </si>
  <si>
    <t>AUTOREFRATOR</t>
  </si>
  <si>
    <t>HOSPITAL SANTA ISABEL</t>
  </si>
  <si>
    <t>EQUIPAMENTOS E MATERIAIS PERMANENTES - SAÚDE BUCAL</t>
  </si>
  <si>
    <t>FUNDO MUNICIPAL DE SAÚDE DE UBA</t>
  </si>
  <si>
    <t>VEÍCULO DE PASSEIO (7 LUGARES)</t>
  </si>
  <si>
    <t>ULTRASSOM OFTALMOLÓGICO</t>
  </si>
  <si>
    <t>APARELHO DE RAIOS X - MÓVEL</t>
  </si>
  <si>
    <t>EQUIPAMENTOS E MATERIAIS PERMANENTES CEO</t>
  </si>
  <si>
    <t>CENTRO DE ESPECIALIDADES ODONTOLOGICAS</t>
  </si>
  <si>
    <t>EQUIPAMENTOS ATENÇÃO PRIMÁRIA</t>
  </si>
  <si>
    <t>MATIAS BARBOSA</t>
  </si>
  <si>
    <t>MUNICIPIO DE MATIAS BARBOSA</t>
  </si>
  <si>
    <t>MANUTENÇÃO - UBS</t>
  </si>
  <si>
    <t>EQUIPAMENTOS</t>
  </si>
  <si>
    <t>APAE DE UBÁ</t>
  </si>
  <si>
    <t>VACIMÓVEL</t>
  </si>
  <si>
    <t>EQUIPAMENTOS E MATERIAIS PERMANENTES ATENCAO ESPECIALIZADA</t>
  </si>
  <si>
    <t>POLICLINICA REGIONAL DR EDUARDO LEVINDO COELHO</t>
  </si>
  <si>
    <t>AMBULÂNCIA TIPO A - SIMPLES REMOÇÃO - FURGONETA</t>
  </si>
  <si>
    <t>TOMOGRAFO DE COERÊNCIA ÓPTICA</t>
  </si>
  <si>
    <t>VITREÓFAGO</t>
  </si>
  <si>
    <t>VEÍCULO DE TRANSPORTE SANITÁRIO ELETIVO</t>
  </si>
  <si>
    <t>EQUIPAMENTOS E MATERIAIS PERMANENTES -APS</t>
  </si>
  <si>
    <t>CATAGUASES</t>
  </si>
  <si>
    <t>FUNDO MUNICIPAL DE CATAGUASES</t>
  </si>
  <si>
    <t>OP TRANSMITIDA AO BANCO, AGUARDANDO ACATAR</t>
  </si>
  <si>
    <t>SAMU - CISDESTE</t>
  </si>
  <si>
    <t>CISDESTE</t>
  </si>
  <si>
    <t>CÂMARAS DE CONSERVAÇÃO DE IMUNOBIOLÓGICOS</t>
  </si>
  <si>
    <t>RIO NOVO</t>
  </si>
  <si>
    <t>FUNDO MUNICIPAL DE SAÚDE DE RIO NOVO</t>
  </si>
  <si>
    <t>CUSTEIO UBS - UNIDADE BÁSICA DE SAÚDE</t>
  </si>
  <si>
    <t>AQUISIÇÃO DE UNIDADE ODONTOLÓGICA MÓVEL</t>
  </si>
  <si>
    <t xml:space="preserve">VEÍCULO PICK-UP CABINE DUPLA 4X4 (DIESEL) </t>
  </si>
  <si>
    <t xml:space="preserve">CUSTEIO VALOR EM SAÚDE - MANUTENÇÃO </t>
  </si>
  <si>
    <t>RESOLUÇÃO UBS</t>
  </si>
  <si>
    <t>Construção de UBS - CONSTRUCAO DE UBS ALVENARIA PORTE I - BAIRRO JUDAS TADEU</t>
  </si>
  <si>
    <t>MUNICIPIO DE UBA</t>
  </si>
  <si>
    <t>1320.01.0156997/2025-64/ 1320.01.0011698/2026-66</t>
  </si>
  <si>
    <t xml:space="preserve"> CONSTRUÇÃO DE UBS TIPO I - DISTRITO MIRAGAIA </t>
  </si>
  <si>
    <t>1320.01.0156877/2025-06</t>
  </si>
  <si>
    <t>Construção de UBS - CONSTRUCAO DE UBS ALVENARIA PORTE I - BAIRRO UBARI</t>
  </si>
  <si>
    <t>1320.01.0156811/2025-42/ 1320.01.0011794/2026-93</t>
  </si>
  <si>
    <t>CONSTRUÇÃO DE UBS TIPO I-  BAIRRO TANQUINHO</t>
  </si>
  <si>
    <t>1320.01.0166314/2025-26</t>
  </si>
  <si>
    <t>CONSTRUÇÃO DE UBS - CONSTRUCAO DE UBS ALVENARIA PORTE I - BAIRRO DIAMANTE</t>
  </si>
  <si>
    <t>1320.01.0129031/2025-98</t>
  </si>
  <si>
    <t>Fonte 10 - SEGOV</t>
  </si>
  <si>
    <t>Autorefrator</t>
  </si>
  <si>
    <t>Biômetro de Coerência Óptica</t>
  </si>
  <si>
    <t>Campímetro</t>
  </si>
  <si>
    <t>Facoemulsificador</t>
  </si>
  <si>
    <t>Microscópio Cirúrgico Oftalmológico</t>
  </si>
  <si>
    <t>Oftalmoscópio Binocular Indireto</t>
  </si>
  <si>
    <t>Refrator de Greens</t>
  </si>
  <si>
    <t>Retinógrafo</t>
  </si>
  <si>
    <t>Topógrafo de Córnea</t>
  </si>
  <si>
    <t>Tonômetro</t>
  </si>
  <si>
    <t>aparelho de anestesia com monitor multiparâmetros</t>
  </si>
  <si>
    <t>CONSTRUÇÃO DE UBS - CONSTRUCAO DE UBS ALVENARIA PORTE II - BAIRRO CHANGRILÁ</t>
  </si>
  <si>
    <t>1320.01.0062149/2026-60</t>
  </si>
  <si>
    <t>Construção de UBS - CONSTRUCAO DE UBS ALVENARIA PORTE I - BAIRRO COLÔNIA</t>
  </si>
  <si>
    <t>ETAPA 2 - AGUARDANDO ENVIO DE DOCUMENTAÇÃO DO CHECKLIST PARA INICIAR TRAMITAÇÃO</t>
  </si>
  <si>
    <t>OFÍCIO ENVIADO AO MUNICÍPIO EM 23/04</t>
  </si>
  <si>
    <t>1320.01.0050664/2026-46</t>
  </si>
  <si>
    <t>Construção de UBS - CONSTRUCAO DE UBS ALVENARIA APOIO - BARRINHA</t>
  </si>
  <si>
    <t>ETAPA 3 - EM VALIDAÇÃO PRÉVIA DA DOCUMENTAÇÃO ENVIADA</t>
  </si>
  <si>
    <t>DOCUMENTAÇÃO ENVIADA PARA SUBRAS PARA VALIDAÇÃO EM 22/06</t>
  </si>
  <si>
    <t>1320.01.0052183/2026-64</t>
  </si>
  <si>
    <t>Construção de UBS - CONSTRUCAO DE UBS ALVENARIA APOIO - AEROPORTO</t>
  </si>
  <si>
    <t>1320.01.0050786/2026-50</t>
  </si>
  <si>
    <t>(Vários itens)</t>
  </si>
  <si>
    <t>Soma de VALOR DO PLEITO</t>
  </si>
  <si>
    <t>STATUS/FONTE</t>
  </si>
  <si>
    <t>10</t>
  </si>
  <si>
    <t>95</t>
  </si>
  <si>
    <t>TOTAL</t>
  </si>
  <si>
    <t>Total Geral</t>
  </si>
  <si>
    <t>EXECUÇÃO</t>
  </si>
  <si>
    <t>ANÁLISE PRÉVIA</t>
  </si>
  <si>
    <t>RESERVADO</t>
  </si>
  <si>
    <t>Município Polo</t>
  </si>
  <si>
    <t>Destino do Investimeto</t>
  </si>
  <si>
    <t xml:space="preserve"> Valor total </t>
  </si>
  <si>
    <t>Descrição</t>
  </si>
  <si>
    <t>Status</t>
  </si>
  <si>
    <t>Origem</t>
  </si>
  <si>
    <t>Observações</t>
  </si>
  <si>
    <t>Juiz de Fora</t>
  </si>
  <si>
    <t>HPS - Hospital de Pronto Socorro Dr. Mozart Teixeira (ORTOPEDIA)</t>
  </si>
  <si>
    <t>Obra hospitalar - construção do novo HPS</t>
  </si>
  <si>
    <t>Aguarda Projeto</t>
  </si>
  <si>
    <t>Valor já anunciado.</t>
  </si>
  <si>
    <t>Muriaé</t>
  </si>
  <si>
    <t>Fundação Cristiano Varella -  Hospital do Câncer de Muriaé</t>
  </si>
  <si>
    <t>Equipamentos hospitalares</t>
  </si>
  <si>
    <t>Análise Preliminar</t>
  </si>
  <si>
    <t>Dep. Estadual Grego</t>
  </si>
  <si>
    <t>Santa Casa de Misericórdia de Juiz de Fora</t>
  </si>
  <si>
    <t>Equipamento hospitalar - Kit Valora - Valor em Saúde</t>
  </si>
  <si>
    <t>Definir</t>
  </si>
  <si>
    <t>Sugestão apresentada pelo MPMG</t>
  </si>
  <si>
    <t xml:space="preserve">São João Nepomuceno </t>
  </si>
  <si>
    <t>Hospital São João</t>
  </si>
  <si>
    <t>Equipamento hospitalar Kit Valora - Valor em Saúde</t>
  </si>
  <si>
    <t>Equipamentos para estruturar centro cirúrgico</t>
  </si>
  <si>
    <t>Associação Feminina de Prevenção e Combate ao Câncer</t>
  </si>
  <si>
    <t xml:space="preserve">Equipamento hospitalar -  Densitômetro </t>
  </si>
  <si>
    <t>Deputada Estadual Chiara Biondini</t>
  </si>
  <si>
    <t>Santos Dumont</t>
  </si>
  <si>
    <t>Hospital Misericórdia de Santos Dumont</t>
  </si>
  <si>
    <t>Equipamento para estruturar centro de hemodiálise - máquina de água de osmose e 10 cadeiras</t>
  </si>
  <si>
    <t>Requer análise técnica aprofundada</t>
  </si>
  <si>
    <t>Casa de Caridade de Muriaé - Hospital São Paulo</t>
  </si>
  <si>
    <t>Equipamento e obras hospitalares</t>
  </si>
  <si>
    <t>Dep. Estadual Doutor Wilson Batista e Deputada Estadual Chiara Biondini</t>
  </si>
  <si>
    <t xml:space="preserve">Maior parte do pleito do Deputado Wilson Batista e uma pequena parte da Deputada Chiara Biondini </t>
  </si>
  <si>
    <t xml:space="preserve">Leopoldina </t>
  </si>
  <si>
    <t>Casa de Caridade Leopoldinense</t>
  </si>
  <si>
    <t>Equipamento hospitalar</t>
  </si>
  <si>
    <t>Equipamentos para estruturar centro cirurgíco</t>
  </si>
  <si>
    <t xml:space="preserve">Carangola </t>
  </si>
  <si>
    <t xml:space="preserve">Casa De Caridade De Carangola </t>
  </si>
  <si>
    <t>Bicas</t>
  </si>
  <si>
    <t>Hospital São José de Bicas</t>
  </si>
  <si>
    <t>Lima Duarte</t>
  </si>
  <si>
    <t>Santa Casa de Misericórdia de Lima Duarte</t>
  </si>
  <si>
    <t>Equipamento hospitalar- tomógrafo</t>
  </si>
  <si>
    <t>Além Paraíba</t>
  </si>
  <si>
    <t>Hospital São Salvador</t>
  </si>
  <si>
    <t>Cataguases</t>
  </si>
  <si>
    <t>Hospital de Cataguases</t>
  </si>
  <si>
    <t>Toda a macrorregião</t>
  </si>
  <si>
    <t xml:space="preserve"> Renovação e ampliação da frota do SAMU - USA e USB </t>
  </si>
  <si>
    <t xml:space="preserve"> Incluído no Programa de Aceleração do Crescimento (PAC)  </t>
  </si>
  <si>
    <t>Sinalização de que atenderíamos o que não for contemplado no PAC</t>
  </si>
  <si>
    <t>Consórcios generalistas</t>
  </si>
  <si>
    <t>CISUM</t>
  </si>
  <si>
    <t xml:space="preserve"> Equipamentos ambulatoriais  </t>
  </si>
  <si>
    <t xml:space="preserve">Proposição  SES </t>
  </si>
  <si>
    <t>SIMSAUDE</t>
  </si>
  <si>
    <t>CISLESTE</t>
  </si>
  <si>
    <t>ACISPES</t>
  </si>
  <si>
    <t>CIESP</t>
  </si>
  <si>
    <t xml:space="preserve">Hospital Regional João Penido </t>
  </si>
  <si>
    <t xml:space="preserve">Obra hopitalar - Adequação de instalações no hospitel João Penido </t>
  </si>
  <si>
    <t>Fora</t>
  </si>
  <si>
    <t>Recurso de resolução já publicada. Previsão de pagamento em agosto</t>
  </si>
  <si>
    <t>Ubá</t>
  </si>
  <si>
    <t xml:space="preserve">Município de Ubá </t>
  </si>
  <si>
    <t>Equipamentos para implantação de um Centro de Diagnóstico e Imagem.</t>
  </si>
  <si>
    <t>Fora - Desistiram</t>
  </si>
  <si>
    <t>Dep. Estadual Tito Torres</t>
  </si>
  <si>
    <t>Convênio em andamento. O Deputado Noraldino tem cobrado e acompanhado o convênio de perto.</t>
  </si>
  <si>
    <t>Equipamentos para implantação do Laboratório de Análises Clínicas.</t>
  </si>
  <si>
    <t>Equipamento para estruturar centro de hemodiálise- máquina de água de osmose</t>
  </si>
  <si>
    <t>Construção de UPA</t>
  </si>
  <si>
    <t xml:space="preserve">Hospital Santa Terezinha de Jesus </t>
  </si>
  <si>
    <t xml:space="preserve"> Equipamento hospitalar - Arco cirúrgico</t>
  </si>
  <si>
    <t>Já rodando</t>
  </si>
  <si>
    <t xml:space="preserve">Vice-governador </t>
  </si>
  <si>
    <t xml:space="preserve">ASCOMCER </t>
  </si>
  <si>
    <t xml:space="preserve">Equipamento hospitalar - Substituição do acelerador linear </t>
  </si>
  <si>
    <t>Deputado Estadual Noraldino Júnior</t>
  </si>
  <si>
    <t>Hospital Federal de Juiz de Fora (HUFJF)</t>
  </si>
  <si>
    <t xml:space="preserve">Equipamento hospitalar </t>
  </si>
  <si>
    <t>Dep. Estadual Noraldino Júnior</t>
  </si>
  <si>
    <t>Convênio em andamento</t>
  </si>
  <si>
    <t>Equipamentos atenção primária à saúde</t>
  </si>
  <si>
    <t xml:space="preserve">Construção de 02 UBS </t>
  </si>
  <si>
    <t>Vice-governador manifestou interesse em anunciar</t>
  </si>
  <si>
    <t>Hospital Santa Isabel</t>
  </si>
  <si>
    <t>Equipamentos para estruturar UTI neonatal</t>
  </si>
  <si>
    <t>Equipamento hospitalar - alta complexidade de ortopedia e trauma</t>
  </si>
  <si>
    <t>Município de São João Nepomuceno</t>
  </si>
  <si>
    <t>Melhor em Bicas</t>
  </si>
  <si>
    <t>Equipamentos para estruturar UTI (10 leitos)</t>
  </si>
  <si>
    <t>Não viável para o momento</t>
  </si>
  <si>
    <t>Município de Bicas</t>
  </si>
  <si>
    <t>Regional vai pedir ofício para começarmos a rodar.</t>
  </si>
  <si>
    <t>Equipamentos pra estruturar UTI pediátrica</t>
  </si>
  <si>
    <t>Rodar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</si>
</sst>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_-[$R$-416]\ * #,##0.00_-;\-[$R$-416]\ * #,##0.00_-;_-[$R$-416]\ * &quot;-&quot;??_-;_-@_-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charset val="1"/>
    </font>
    <font>
      <sz val="11"/>
      <color rgb="FF000000"/>
      <name val="Aptos Narrow"/>
    </font>
    <font>
      <sz val="11"/>
      <color rgb="FFFF0000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8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8" fontId="0" fillId="0" borderId="2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3" xfId="1" applyFill="1" applyBorder="1" applyAlignment="1">
      <alignment wrapText="1"/>
    </xf>
    <xf numFmtId="0" fontId="0" fillId="0" borderId="0" xfId="0" pivotButton="1"/>
    <xf numFmtId="0" fontId="0" fillId="0" borderId="0" xfId="0" pivotButton="1" applyAlignment="1">
      <alignment wrapText="1"/>
    </xf>
    <xf numFmtId="164" fontId="8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8" fontId="4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3" xfId="0" applyFont="1" applyBorder="1"/>
    <xf numFmtId="8" fontId="6" fillId="0" borderId="3" xfId="0" applyNumberFormat="1" applyFont="1" applyBorder="1"/>
    <xf numFmtId="0" fontId="4" fillId="0" borderId="3" xfId="0" applyFont="1" applyBorder="1"/>
    <xf numFmtId="0" fontId="7" fillId="0" borderId="3" xfId="0" applyFont="1" applyBorder="1" applyAlignment="1">
      <alignment wrapText="1"/>
    </xf>
    <xf numFmtId="8" fontId="4" fillId="0" borderId="3" xfId="0" applyNumberFormat="1" applyFont="1" applyBorder="1"/>
    <xf numFmtId="0" fontId="5" fillId="0" borderId="3" xfId="0" applyFont="1" applyBorder="1"/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8" fontId="4" fillId="0" borderId="5" xfId="0" applyNumberFormat="1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4" fillId="0" borderId="5" xfId="0" applyFont="1" applyBorder="1"/>
    <xf numFmtId="8" fontId="4" fillId="0" borderId="5" xfId="0" applyNumberFormat="1" applyFont="1" applyBorder="1"/>
    <xf numFmtId="0" fontId="9" fillId="0" borderId="6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2" formatCode="&quot;R$&quot;\ #,##0.00;[Red]\-&quot;R$&quot;\ #,##0.00"/>
      <border diagonalUp="0" diagonalDown="0" outline="0">
        <left/>
        <right/>
        <top style="thin">
          <color rgb="FF9BC2E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/>
        <right/>
        <top style="thin">
          <color rgb="FF9BC2E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9BC2E6"/>
        </top>
        <bottom/>
      </border>
    </dxf>
    <dxf>
      <border outline="0">
        <top style="thin">
          <color rgb="FF9BC2E6"/>
        </top>
      </border>
    </dxf>
    <dxf>
      <border outline="0">
        <bottom style="thin">
          <color rgb="FF9BC2E6"/>
        </bottom>
      </border>
    </dxf>
    <dxf>
      <border outline="0">
        <left style="thin">
          <color rgb="FF9BC2E6"/>
        </left>
        <right style="thin">
          <color rgb="FF9BC2E6"/>
        </right>
        <top style="thin">
          <color rgb="FF000000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5B9BD5"/>
          <bgColor rgb="FF5B9BD5"/>
        </patternFill>
      </fill>
      <alignment horizontal="general" vertical="bottom" textRotation="0" wrapText="1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2" formatCode="&quot;R$&quot;\ #,##0.00;[Red]\-&quot;R$&quot;\ #,##0.00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/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434240972223" createdVersion="8" refreshedVersion="8" minRefreshableVersion="3" recordCount="78" xr:uid="{7D063FC1-7A0C-41BE-A5C6-A3DABA3B5945}">
  <cacheSource type="worksheet">
    <worksheetSource name="Tabela1"/>
  </cacheSource>
  <cacheFields count="14">
    <cacheField name="INSTRUMENTO" numFmtId="0">
      <sharedItems/>
    </cacheField>
    <cacheField name="NÚMERO DA INDICAÇÃO" numFmtId="0">
      <sharedItems containsMixedTypes="1" containsNumber="1" containsInteger="1" minValue="152057" maxValue="221335"/>
    </cacheField>
    <cacheField name="OBJETO" numFmtId="0">
      <sharedItems count="66">
        <s v="AQUISIÇÃO DE EQUIPAMENTOS"/>
        <s v="REALIZAÇÃO DE DIAGNÓSTICO DA SITUAÇÃO ATUAL, ESTUDO DE VIABILIDADE, ELABORAÇÃO DE PROJETO BÁSICO E DE PROJETOS EXECUTIVOS DE ENGENHARIA, VISANDO À IMPLANTAÇÃO DO NOVO HOSPITAL DE PRONTO SOCORRO NO EDIFÍCIO DESTINADO AO HOSPITAL REGIONAL EM JUIZ DE FORA/MG"/>
        <s v="EQUIPAMENTO HOSPITALAR - AQUISICAO DE EQUIPAMENTOS HOSPITALARES - FUNDACAO CRISTIANO VARELLA - CNES 2195453 (RETOMADA DO PLANO DE TRABALHO 000109/2025)"/>
        <s v="CONSTRUÇÃO DO ANEXO DO HOSPITAL"/>
        <s v="CONSTRUÇÃO DE UPA"/>
        <s v="CONSTRUÇÃO DO HOSPITAL REGIONAL DE UNAÍ"/>
        <s v="ACELERADOR LINEAR"/>
        <s v="OBRA E REFORMA"/>
        <s v="CONSTRUÇÃO HPS"/>
        <s v="EQUIPAMENTOS HOSPITALARES"/>
        <s v="HOSPITAL REGIONAL JOÃO PENIDO"/>
        <s v="ASPIRADOR ULTRASSÔNICO/ BISTURI ULTRASSÔNICO "/>
        <s v="ULTRASSOM DIAGNÓSTICO TRANSCRANIANO"/>
        <s v="APARELHO DE ANESTESIA"/>
        <s v="APARELHO DE RAIOS X - FIXO DIGITAL"/>
        <s v="ARCO CIRÚRGICO"/>
        <s v="ESTERILIZADOR POR MÉTODOS FÍSICOS-QUÍMICOS"/>
        <s v="KIT 5 CAMAS TIPO FAWLER ELÉTRICA"/>
        <s v="KIT DE 5 MONITORES MULTIPARÂMETROS"/>
        <s v="MESA CIRÚRGICA ELÉTRICA"/>
        <s v="SISTEMA DE VÍDEO ENDOSCOPIA FLEXÍVEL"/>
        <s v="SISTEMA DE VÍDEO ENDOSCOPIA RÍGIDA"/>
        <s v="ULTRASSOM DIAGNÓSTICO COM APLICAÇÃO TRANSESOFÁGICA"/>
        <s v="ULTRASSOM DIAGNÓSTICO SEM APLICAÇÃO TRANSESOFÁGICA"/>
        <s v="VENTILADOR PULMONAR PRESSOMÉTRICO E VOLUMÉTRICO"/>
        <s v="AUTOREFRATOR"/>
        <s v="EQUIPAMENTOS E MATERIAIS PERMANENTES - SAÚDE BUCAL"/>
        <s v="VEÍCULO DE PASSEIO (7 LUGARES)"/>
        <s v="ULTRASSOM OFTALMOLÓGICO"/>
        <s v="APARELHO DE RAIOS X - MÓVEL"/>
        <s v="EQUIPAMENTOS E MATERIAIS PERMANENTES CEO"/>
        <s v="EQUIPAMENTOS ATENÇÃO PRIMÁRIA"/>
        <s v="MANUTENÇÃO - UBS"/>
        <s v="EQUIPAMENTOS"/>
        <s v="VACIMÓVEL"/>
        <s v="EQUIPAMENTOS E MATERIAIS PERMANENTES ATENCAO ESPECIALIZADA"/>
        <s v="AMBULÂNCIA TIPO A - SIMPLES REMOÇÃO - FURGONETA"/>
        <s v="TOMOGRAFO DE COERÊNCIA ÓPTICA"/>
        <s v="VITREÓFAGO"/>
        <s v="VEÍCULO DE TRANSPORTE SANITÁRIO ELETIVO"/>
        <s v="EQUIPAMENTOS E MATERIAIS PERMANENTES -APS"/>
        <s v="SAMU - CISDESTE"/>
        <s v="CÂMARAS DE CONSERVAÇÃO DE IMUNOBIOLÓGICOS"/>
        <s v="CUSTEIO UBS - UNIDADE BÁSICA DE SAÚDE"/>
        <s v="AQUISIÇÃO DE UNIDADE ODONTOLÓGICA MÓVEL"/>
        <s v="VEÍCULO PICK-UP CABINE DUPLA 4X4 (DIESEL) "/>
        <s v="CUSTEIO VALOR EM SAÚDE - MANUTENÇÃO "/>
        <s v="Construção de UBS - CONSTRUCAO DE UBS ALVENARIA PORTE I - BAIRRO JUDAS TADEU"/>
        <s v=" CONSTRUÇÃO DE UBS TIPO I - DISTRITO MIRAGAIA "/>
        <s v="Construção de UBS - CONSTRUCAO DE UBS ALVENARIA PORTE I - BAIRRO UBARI"/>
        <s v="CONSTRUÇÃO DE UBS TIPO I-  BAIRRO TANQUINHO"/>
        <s v="CONSTRUÇÃO DE UBS - CONSTRUCAO DE UBS ALVENARIA PORTE I - BAIRRO DIAMANTE"/>
        <s v="Biômetro de Coerência Óptica"/>
        <s v="Campímetro"/>
        <s v="Facoemulsificador"/>
        <s v="Microscópio Cirúrgico Oftalmológico"/>
        <s v="Oftalmoscópio Binocular Indireto"/>
        <s v="Refrator de Greens"/>
        <s v="Retinógrafo"/>
        <s v="Topógrafo de Córnea"/>
        <s v="Tonômetro"/>
        <s v="aparelho de anestesia com monitor multiparâmetros"/>
        <s v="CONSTRUÇÃO DE UBS - CONSTRUCAO DE UBS ALVENARIA PORTE II - BAIRRO CHANGRILÁ"/>
        <s v="Construção de UBS - CONSTRUCAO DE UBS ALVENARIA PORTE I - BAIRRO COLÔNIA"/>
        <s v="Construção de UBS - CONSTRUCAO DE UBS ALVENARIA APOIO - BARRINHA"/>
        <s v="Construção de UBS - CONSTRUCAO DE UBS ALVENARIA APOIO - AEROPORTO"/>
      </sharedItems>
    </cacheField>
    <cacheField name="MUNICÍPIO" numFmtId="0">
      <sharedItems count="8">
        <s v="JUIZ DE FORA"/>
        <s v="MURIAE"/>
        <s v="SARZEDO"/>
        <s v="UBA"/>
        <s v="UNAI"/>
        <s v="MATIAS BARBOSA"/>
        <s v="CATAGUASES"/>
        <s v="RIO NOVO"/>
      </sharedItems>
    </cacheField>
    <cacheField name="BENEFICIÁRIO" numFmtId="0">
      <sharedItems count="19">
        <s v="HOSPITAL E MATERNIDADE THEREZINHA DE JESUS"/>
        <s v="FUNDO MUNICIPAL DE JUIZ DE FORA"/>
        <s v="FUNDACAO CRISTIANO VARELLA"/>
        <s v="MUNICIPIO DE SARZEDO"/>
        <s v="FUNDO MUNICIPAL DE UBA"/>
        <s v="FUNDO MUNICIPAL DE UNAI"/>
        <s v="ASCOMCER"/>
        <s v="FHEMIG"/>
        <s v="HOSPITAL UNIVERSITARIO DA UFJF"/>
        <s v="HOSPITAL SANTA ISABEL"/>
        <s v="FUNDO MUNICIPAL DE SAÚDE DE UBA"/>
        <s v="CENTRO DE ESPECIALIDADES ODONTOLOGICAS"/>
        <s v="MUNICIPIO DE MATIAS BARBOSA"/>
        <s v="APAE DE UBÁ"/>
        <s v="POLICLINICA REGIONAL DR EDUARDO LEVINDO COELHO"/>
        <s v="FUNDO MUNICIPAL DE CATAGUASES"/>
        <s v="CISDESTE"/>
        <s v="FUNDO MUNICIPAL DE SAÚDE DE RIO NOVO"/>
        <s v="MUNICIPIO DE UBA"/>
      </sharedItems>
    </cacheField>
    <cacheField name="BENEFICIÁRIO - DEPOIS EXCLUIR" numFmtId="0">
      <sharedItems containsBlank="1" count="7">
        <s v="HOSPITAL E MATERNIDADE THEREZINHA DE JESUS"/>
        <s v="NOVO HPS - HOSPITAL REGIONAL DE JUIZ DE FORA"/>
        <m/>
        <s v="ASCOMCER"/>
        <s v="HOSPITAL REGIONAL JOÃO PENIDO"/>
        <s v="HOSPITAL UNIVERSITARIO DA UFJF"/>
        <s v="SAMU - CISDESTE"/>
      </sharedItems>
    </cacheField>
    <cacheField name="VALOR DO PLEITO" numFmtId="164">
      <sharedItems containsSemiMixedTypes="0" containsString="0" containsNumber="1" minValue="5584" maxValue="65000000"/>
    </cacheField>
    <cacheField name="PADRINHO" numFmtId="8">
      <sharedItems containsBlank="1"/>
    </cacheField>
    <cacheField name="STATUS (01/07)" numFmtId="0">
      <sharedItems count="4">
        <s v="PAGO"/>
        <s v="EM TRAMITAÇÃO"/>
        <s v="EM ANÁLISE PRÉVIA"/>
        <s v="AGUARDA CONVÊNIO PROJETO"/>
      </sharedItems>
    </cacheField>
    <cacheField name="ETAPA DE CELEBRAÇÃO" numFmtId="0">
      <sharedItems count="8">
        <s v="PAGO"/>
        <s v="ETAPA 2 - ANÁLISE DA ENGENHARIA - OBRA"/>
        <s v="ETAPA 2/3 - ANÁLISE ASSISTENCIAL/ENGENHARIA - OBRA"/>
        <s v="ETAPA 2/3 - ANÁLISE ASSISTENCIAL/ENGENHARIA - EQUIPAMENTO"/>
        <s v="NA"/>
        <s v="OP TRANSMITIDA AO BANCO, AGUARDANDO ACATAR"/>
        <s v="EM TRÂMITE DE PAGAMENTO"/>
        <s v="ETAPA 2 - AGUARDANDO ENVIO DE DOCUMENTAÇÃO DO CHECKLIST PARA INICIAR TRAMITAÇÃO"/>
      </sharedItems>
    </cacheField>
    <cacheField name="DETALHAMENTO ETAPA DE CELEBRAÇÃO" numFmtId="0">
      <sharedItems count="13">
        <s v="PAGO"/>
        <s v="OFÍCIO ENVIADO AO MUNICÍPIO EM 10/06 SOLICITANDO DILIGÊNCIAS DA DIFE"/>
        <s v="OFÍCIO ENVIADO AO MUNICÍPIO EM 02/06 REITERANDO DILIGÊNCIAS DA DIFE"/>
        <s v="OFÍCIO ENVIADO AO MUNICÍPIO EM 10/06 SOLICITANDO ADEQUAÇÕES NO PLANO DE TRABALHO"/>
        <s v="ENVIADO PARA ANÁLISE DA DIFE E DA SUBRAS EM 01/06"/>
        <s v="SOLICITADAS INFOS COMPLEMENTARES EM 31/03"/>
        <s v="AGUARDA CONVÊNIO PROJETO"/>
        <s v="VALIDAR INDICAÇÃO"/>
        <s v="EM EXECUÇÃO"/>
        <s v="NA"/>
        <s v="OFÍCIO ENVIADO PARA O MUNICÍPIO EM 15/05"/>
        <s v="OFÍCIO ENVIADO AO MUNICÍPIO EM 23/04"/>
        <s v="OFÍCIO ENVIADO AO MUNICÍPIO EM 27/04"/>
      </sharedItems>
    </cacheField>
    <cacheField name="SEI" numFmtId="0">
      <sharedItems containsBlank="1"/>
    </cacheField>
    <cacheField name="FONTE FINAL" numFmtId="0">
      <sharedItems count="3">
        <s v="Fonte 95"/>
        <s v="Fonte 10"/>
        <s v="Fonte 10 - SEGOV"/>
      </sharedItems>
    </cacheField>
    <cacheField name="ACORDO SUDESTE" numFmtId="0">
      <sharedItems count="2">
        <s v="SIM"/>
        <s v="NA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ONVÊNIO"/>
    <s v="NA"/>
    <x v="0"/>
    <x v="0"/>
    <x v="0"/>
    <x v="0"/>
    <n v="7979611.6799999997"/>
    <s v="VICE- GOVERNADOR"/>
    <x v="0"/>
    <x v="0"/>
    <x v="0"/>
    <s v="1320.01.0159179/2025-29"/>
    <x v="0"/>
    <x v="0"/>
  </r>
  <r>
    <s v="CONVÊNIO"/>
    <s v="NA"/>
    <x v="1"/>
    <x v="0"/>
    <x v="1"/>
    <x v="1"/>
    <n v="4999731.34"/>
    <s v="VICE- GOVERNADOR"/>
    <x v="0"/>
    <x v="0"/>
    <x v="0"/>
    <s v="1320.01.0158002/2025-89"/>
    <x v="0"/>
    <x v="0"/>
  </r>
  <r>
    <s v="CONVÊNIO"/>
    <n v="182961"/>
    <x v="2"/>
    <x v="1"/>
    <x v="2"/>
    <x v="2"/>
    <n v="7953110.3799999999"/>
    <s v="VICE- GOVERNADOR"/>
    <x v="0"/>
    <x v="0"/>
    <x v="0"/>
    <s v="1320.01.0016390/2024-70 "/>
    <x v="1"/>
    <x v="0"/>
  </r>
  <r>
    <s v="CONVÊNIO"/>
    <n v="152057"/>
    <x v="3"/>
    <x v="2"/>
    <x v="3"/>
    <x v="2"/>
    <n v="10968960"/>
    <s v="DEPUTADA IONE PINHEIRO"/>
    <x v="1"/>
    <x v="1"/>
    <x v="1"/>
    <s v="1630.01.0000878/2024-66 (INICIAL) / 1320.01.0125434/2024-26"/>
    <x v="0"/>
    <x v="1"/>
  </r>
  <r>
    <s v="CONVÊNIO"/>
    <s v="NA"/>
    <x v="4"/>
    <x v="3"/>
    <x v="4"/>
    <x v="2"/>
    <n v="5000000"/>
    <s v="DEPUTADO NORALDINO"/>
    <x v="1"/>
    <x v="2"/>
    <x v="2"/>
    <s v="1320.01.0147622/2025-19"/>
    <x v="0"/>
    <x v="0"/>
  </r>
  <r>
    <s v="CONVÊNIO"/>
    <s v="NA"/>
    <x v="5"/>
    <x v="4"/>
    <x v="5"/>
    <x v="2"/>
    <n v="40000000"/>
    <s v="VICE- GOVERNADOR"/>
    <x v="1"/>
    <x v="2"/>
    <x v="3"/>
    <s v="1320.01.0070060/2024-63"/>
    <x v="0"/>
    <x v="1"/>
  </r>
  <r>
    <s v="CONVÊNIO"/>
    <n v="211213"/>
    <x v="6"/>
    <x v="0"/>
    <x v="6"/>
    <x v="3"/>
    <n v="11000000"/>
    <s v="DEPUTADO NORALDINO"/>
    <x v="1"/>
    <x v="3"/>
    <x v="4"/>
    <s v="1320.01.0054560/2026-02"/>
    <x v="0"/>
    <x v="0"/>
  </r>
  <r>
    <s v="CONVÊNIO"/>
    <s v="NA"/>
    <x v="7"/>
    <x v="0"/>
    <x v="6"/>
    <x v="3"/>
    <n v="15000000"/>
    <s v="DEPUTADO NORALDINO"/>
    <x v="2"/>
    <x v="4"/>
    <x v="5"/>
    <m/>
    <x v="0"/>
    <x v="0"/>
  </r>
  <r>
    <s v="CONVÊNIO"/>
    <s v="NA"/>
    <x v="8"/>
    <x v="0"/>
    <x v="1"/>
    <x v="1"/>
    <n v="65000000"/>
    <m/>
    <x v="3"/>
    <x v="4"/>
    <x v="6"/>
    <m/>
    <x v="0"/>
    <x v="0"/>
  </r>
  <r>
    <s v="CONVÊNIO"/>
    <s v="NA"/>
    <x v="9"/>
    <x v="1"/>
    <x v="2"/>
    <x v="2"/>
    <n v="15000000"/>
    <m/>
    <x v="2"/>
    <x v="4"/>
    <x v="7"/>
    <m/>
    <x v="0"/>
    <x v="0"/>
  </r>
  <r>
    <s v="EXECUÇÃO DIRETA"/>
    <s v="NA"/>
    <x v="10"/>
    <x v="0"/>
    <x v="7"/>
    <x v="4"/>
    <n v="13500000"/>
    <m/>
    <x v="1"/>
    <x v="4"/>
    <x v="8"/>
    <m/>
    <x v="0"/>
    <x v="0"/>
  </r>
  <r>
    <s v="RESOLUÇÃO"/>
    <n v="182092"/>
    <x v="11"/>
    <x v="0"/>
    <x v="0"/>
    <x v="0"/>
    <n v="332670"/>
    <s v="VICE- GOVERNADOR"/>
    <x v="0"/>
    <x v="0"/>
    <x v="0"/>
    <s v="1320.01.0159466/2025-40"/>
    <x v="1"/>
    <x v="0"/>
  </r>
  <r>
    <s v="RESOLUÇÃO"/>
    <n v="182093"/>
    <x v="12"/>
    <x v="0"/>
    <x v="0"/>
    <x v="0"/>
    <n v="490000"/>
    <s v="VICE- GOVERNADOR"/>
    <x v="0"/>
    <x v="0"/>
    <x v="0"/>
    <s v="1320.01.0159466/2025-40"/>
    <x v="1"/>
    <x v="0"/>
  </r>
  <r>
    <s v="RESOLUÇÃO"/>
    <n v="196203"/>
    <x v="13"/>
    <x v="0"/>
    <x v="8"/>
    <x v="5"/>
    <n v="1558823"/>
    <s v="DEPUTADO NIKOLAS FERREIRA"/>
    <x v="0"/>
    <x v="0"/>
    <x v="0"/>
    <m/>
    <x v="0"/>
    <x v="0"/>
  </r>
  <r>
    <s v="RESOLUÇÃO"/>
    <n v="196202"/>
    <x v="14"/>
    <x v="0"/>
    <x v="8"/>
    <x v="5"/>
    <n v="389188"/>
    <s v="DEPUTADO NIKOLAS FERREIRA"/>
    <x v="0"/>
    <x v="0"/>
    <x v="0"/>
    <m/>
    <x v="0"/>
    <x v="0"/>
  </r>
  <r>
    <s v="RESOLUÇÃO"/>
    <n v="196201"/>
    <x v="15"/>
    <x v="0"/>
    <x v="8"/>
    <x v="5"/>
    <n v="476625"/>
    <s v="DEPUTADO NIKOLAS FERREIRA"/>
    <x v="0"/>
    <x v="0"/>
    <x v="0"/>
    <m/>
    <x v="0"/>
    <x v="0"/>
  </r>
  <r>
    <s v="RESOLUÇÃO"/>
    <n v="196200"/>
    <x v="16"/>
    <x v="0"/>
    <x v="8"/>
    <x v="5"/>
    <n v="521550"/>
    <s v="DEPUTADO NIKOLAS FERREIRA"/>
    <x v="0"/>
    <x v="0"/>
    <x v="0"/>
    <m/>
    <x v="0"/>
    <x v="0"/>
  </r>
  <r>
    <s v="RESOLUÇÃO"/>
    <n v="196199"/>
    <x v="17"/>
    <x v="0"/>
    <x v="8"/>
    <x v="5"/>
    <n v="251000"/>
    <s v="DEPUTADO NIKOLAS FERREIRA"/>
    <x v="0"/>
    <x v="0"/>
    <x v="0"/>
    <m/>
    <x v="0"/>
    <x v="0"/>
  </r>
  <r>
    <s v="RESOLUÇÃO"/>
    <n v="196198"/>
    <x v="18"/>
    <x v="0"/>
    <x v="8"/>
    <x v="5"/>
    <n v="167930"/>
    <s v="DEPUTADO NIKOLAS FERREIRA"/>
    <x v="0"/>
    <x v="0"/>
    <x v="0"/>
    <m/>
    <x v="0"/>
    <x v="0"/>
  </r>
  <r>
    <s v="RESOLUÇÃO"/>
    <n v="196197"/>
    <x v="19"/>
    <x v="0"/>
    <x v="8"/>
    <x v="5"/>
    <n v="400972"/>
    <s v="DEPUTADO NIKOLAS FERREIRA"/>
    <x v="0"/>
    <x v="0"/>
    <x v="0"/>
    <m/>
    <x v="0"/>
    <x v="0"/>
  </r>
  <r>
    <s v="RESOLUÇÃO"/>
    <n v="196196"/>
    <x v="20"/>
    <x v="0"/>
    <x v="8"/>
    <x v="5"/>
    <n v="614652"/>
    <s v="DEPUTADO NIKOLAS FERREIRA"/>
    <x v="0"/>
    <x v="0"/>
    <x v="0"/>
    <m/>
    <x v="0"/>
    <x v="0"/>
  </r>
  <r>
    <s v="RESOLUÇÃO"/>
    <n v="196195"/>
    <x v="21"/>
    <x v="0"/>
    <x v="8"/>
    <x v="5"/>
    <n v="788664"/>
    <s v="DEPUTADO NIKOLAS FERREIRA"/>
    <x v="0"/>
    <x v="0"/>
    <x v="0"/>
    <m/>
    <x v="0"/>
    <x v="0"/>
  </r>
  <r>
    <s v="RESOLUÇÃO"/>
    <n v="196194"/>
    <x v="22"/>
    <x v="0"/>
    <x v="8"/>
    <x v="5"/>
    <n v="598000"/>
    <s v="DEPUTADO NIKOLAS FERREIRA"/>
    <x v="0"/>
    <x v="0"/>
    <x v="0"/>
    <m/>
    <x v="0"/>
    <x v="0"/>
  </r>
  <r>
    <s v="RESOLUÇÃO"/>
    <n v="196193"/>
    <x v="23"/>
    <x v="0"/>
    <x v="8"/>
    <x v="5"/>
    <n v="581408"/>
    <s v="DEPUTADO NIKOLAS FERREIRA"/>
    <x v="0"/>
    <x v="0"/>
    <x v="0"/>
    <m/>
    <x v="0"/>
    <x v="0"/>
  </r>
  <r>
    <s v="RESOLUÇÃO"/>
    <n v="196192"/>
    <x v="24"/>
    <x v="0"/>
    <x v="8"/>
    <x v="5"/>
    <n v="542502"/>
    <s v="DEPUTADO NIKOLAS FERREIRA"/>
    <x v="0"/>
    <x v="0"/>
    <x v="0"/>
    <m/>
    <x v="0"/>
    <x v="0"/>
  </r>
  <r>
    <s v="RESOLUÇÃO"/>
    <n v="208184"/>
    <x v="25"/>
    <x v="3"/>
    <x v="9"/>
    <x v="2"/>
    <n v="40608"/>
    <m/>
    <x v="0"/>
    <x v="0"/>
    <x v="0"/>
    <m/>
    <x v="0"/>
    <x v="0"/>
  </r>
  <r>
    <s v="RESOLUÇÃO"/>
    <n v="195593"/>
    <x v="26"/>
    <x v="3"/>
    <x v="10"/>
    <x v="2"/>
    <n v="1980000"/>
    <s v="DEPUTADO NORALDINO"/>
    <x v="0"/>
    <x v="0"/>
    <x v="0"/>
    <m/>
    <x v="0"/>
    <x v="0"/>
  </r>
  <r>
    <s v="RESOLUÇÃO"/>
    <n v="208185"/>
    <x v="25"/>
    <x v="3"/>
    <x v="9"/>
    <x v="2"/>
    <n v="40608"/>
    <m/>
    <x v="0"/>
    <x v="0"/>
    <x v="0"/>
    <m/>
    <x v="0"/>
    <x v="0"/>
  </r>
  <r>
    <s v="RESOLUÇÃO"/>
    <n v="195590"/>
    <x v="27"/>
    <x v="3"/>
    <x v="10"/>
    <x v="2"/>
    <n v="960000"/>
    <s v="DEPUTADO NORALDINO"/>
    <x v="0"/>
    <x v="0"/>
    <x v="0"/>
    <m/>
    <x v="0"/>
    <x v="0"/>
  </r>
  <r>
    <s v="RESOLUÇÃO"/>
    <n v="208182"/>
    <x v="28"/>
    <x v="3"/>
    <x v="9"/>
    <x v="2"/>
    <n v="98163"/>
    <m/>
    <x v="0"/>
    <x v="0"/>
    <x v="0"/>
    <m/>
    <x v="0"/>
    <x v="0"/>
  </r>
  <r>
    <s v="RESOLUÇÃO"/>
    <n v="208175"/>
    <x v="19"/>
    <x v="3"/>
    <x v="9"/>
    <x v="2"/>
    <n v="100243"/>
    <m/>
    <x v="0"/>
    <x v="0"/>
    <x v="0"/>
    <m/>
    <x v="0"/>
    <x v="0"/>
  </r>
  <r>
    <s v="RESOLUÇÃO"/>
    <n v="208176"/>
    <x v="19"/>
    <x v="3"/>
    <x v="9"/>
    <x v="2"/>
    <n v="100243"/>
    <m/>
    <x v="0"/>
    <x v="0"/>
    <x v="0"/>
    <m/>
    <x v="0"/>
    <x v="0"/>
  </r>
  <r>
    <s v="RESOLUÇÃO"/>
    <n v="208173"/>
    <x v="29"/>
    <x v="3"/>
    <x v="9"/>
    <x v="2"/>
    <n v="223887"/>
    <m/>
    <x v="0"/>
    <x v="0"/>
    <x v="0"/>
    <m/>
    <x v="0"/>
    <x v="0"/>
  </r>
  <r>
    <s v="RESOLUÇÃO"/>
    <n v="195609"/>
    <x v="30"/>
    <x v="3"/>
    <x v="11"/>
    <x v="2"/>
    <n v="240000"/>
    <s v="DEPUTADO NORALDINO"/>
    <x v="0"/>
    <x v="0"/>
    <x v="0"/>
    <m/>
    <x v="0"/>
    <x v="0"/>
  </r>
  <r>
    <s v="RESOLUÇÃO"/>
    <n v="210210"/>
    <x v="31"/>
    <x v="5"/>
    <x v="12"/>
    <x v="2"/>
    <n v="180000"/>
    <s v="DEPUTADO NORALDINO"/>
    <x v="0"/>
    <x v="0"/>
    <x v="0"/>
    <m/>
    <x v="0"/>
    <x v="0"/>
  </r>
  <r>
    <s v="RESOLUÇÃO"/>
    <n v="210211"/>
    <x v="32"/>
    <x v="5"/>
    <x v="12"/>
    <x v="2"/>
    <n v="180000"/>
    <s v="DEPUTADO NORALDINO"/>
    <x v="0"/>
    <x v="0"/>
    <x v="0"/>
    <m/>
    <x v="0"/>
    <x v="0"/>
  </r>
  <r>
    <s v="RESOLUÇÃO"/>
    <n v="208170"/>
    <x v="22"/>
    <x v="3"/>
    <x v="9"/>
    <x v="2"/>
    <n v="299000"/>
    <m/>
    <x v="0"/>
    <x v="0"/>
    <x v="0"/>
    <m/>
    <x v="0"/>
    <x v="0"/>
  </r>
  <r>
    <s v="RESOLUÇÃO"/>
    <n v="208180"/>
    <x v="33"/>
    <x v="3"/>
    <x v="13"/>
    <x v="2"/>
    <n v="303690"/>
    <m/>
    <x v="0"/>
    <x v="0"/>
    <x v="0"/>
    <m/>
    <x v="0"/>
    <x v="0"/>
  </r>
  <r>
    <s v="RESOLUÇÃO"/>
    <n v="208171"/>
    <x v="14"/>
    <x v="3"/>
    <x v="9"/>
    <x v="2"/>
    <n v="389188"/>
    <m/>
    <x v="0"/>
    <x v="0"/>
    <x v="0"/>
    <m/>
    <x v="0"/>
    <x v="0"/>
  </r>
  <r>
    <s v="RESOLUÇÃO"/>
    <n v="208172"/>
    <x v="14"/>
    <x v="3"/>
    <x v="9"/>
    <x v="2"/>
    <n v="389188"/>
    <m/>
    <x v="0"/>
    <x v="0"/>
    <x v="0"/>
    <m/>
    <x v="0"/>
    <x v="0"/>
  </r>
  <r>
    <s v="RESOLUÇÃO"/>
    <n v="208174"/>
    <x v="21"/>
    <x v="3"/>
    <x v="9"/>
    <x v="2"/>
    <n v="394332"/>
    <m/>
    <x v="0"/>
    <x v="0"/>
    <x v="0"/>
    <m/>
    <x v="0"/>
    <x v="0"/>
  </r>
  <r>
    <s v="RESOLUÇÃO"/>
    <n v="195588"/>
    <x v="34"/>
    <x v="3"/>
    <x v="10"/>
    <x v="2"/>
    <n v="409000"/>
    <s v="DEPUTADO NORALDINO"/>
    <x v="0"/>
    <x v="0"/>
    <x v="0"/>
    <m/>
    <x v="0"/>
    <x v="0"/>
  </r>
  <r>
    <s v="RESOLUÇÃO"/>
    <n v="195596"/>
    <x v="35"/>
    <x v="3"/>
    <x v="14"/>
    <x v="2"/>
    <n v="450000"/>
    <s v="DEPUTADO NORALDINO"/>
    <x v="0"/>
    <x v="0"/>
    <x v="0"/>
    <m/>
    <x v="0"/>
    <x v="0"/>
  </r>
  <r>
    <s v="RESOLUÇÃO"/>
    <n v="195619"/>
    <x v="36"/>
    <x v="3"/>
    <x v="10"/>
    <x v="2"/>
    <n v="545200"/>
    <s v="DEPUTADO NORALDINO"/>
    <x v="0"/>
    <x v="0"/>
    <x v="0"/>
    <m/>
    <x v="0"/>
    <x v="0"/>
  </r>
  <r>
    <s v="RESOLUÇÃO"/>
    <n v="208183"/>
    <x v="37"/>
    <x v="3"/>
    <x v="9"/>
    <x v="2"/>
    <n v="700034"/>
    <m/>
    <x v="0"/>
    <x v="0"/>
    <x v="0"/>
    <m/>
    <x v="0"/>
    <x v="0"/>
  </r>
  <r>
    <s v="RESOLUÇÃO"/>
    <n v="208181"/>
    <x v="38"/>
    <x v="3"/>
    <x v="9"/>
    <x v="2"/>
    <n v="767750"/>
    <m/>
    <x v="0"/>
    <x v="0"/>
    <x v="0"/>
    <m/>
    <x v="0"/>
    <x v="0"/>
  </r>
  <r>
    <s v="RESOLUÇÃO"/>
    <n v="195620"/>
    <x v="39"/>
    <x v="3"/>
    <x v="10"/>
    <x v="2"/>
    <n v="771446"/>
    <s v="DEPUTADO NORALDINO"/>
    <x v="0"/>
    <x v="0"/>
    <x v="0"/>
    <m/>
    <x v="0"/>
    <x v="0"/>
  </r>
  <r>
    <s v="RESOLUÇÃO"/>
    <n v="195594"/>
    <x v="40"/>
    <x v="3"/>
    <x v="10"/>
    <x v="2"/>
    <n v="3780000"/>
    <s v="DEPUTADO NORALDINO"/>
    <x v="0"/>
    <x v="0"/>
    <x v="0"/>
    <m/>
    <x v="0"/>
    <x v="0"/>
  </r>
  <r>
    <s v="RESOLUÇÃO"/>
    <n v="210209"/>
    <x v="40"/>
    <x v="6"/>
    <x v="15"/>
    <x v="2"/>
    <n v="180000"/>
    <m/>
    <x v="0"/>
    <x v="5"/>
    <x v="0"/>
    <m/>
    <x v="0"/>
    <x v="0"/>
  </r>
  <r>
    <s v="RESOLUÇÃO"/>
    <s v="NA"/>
    <x v="41"/>
    <x v="0"/>
    <x v="16"/>
    <x v="6"/>
    <n v="2000000"/>
    <m/>
    <x v="2"/>
    <x v="4"/>
    <x v="9"/>
    <m/>
    <x v="0"/>
    <x v="0"/>
  </r>
  <r>
    <s v="RESOLUÇÃO"/>
    <n v="213071"/>
    <x v="42"/>
    <x v="7"/>
    <x v="17"/>
    <x v="2"/>
    <n v="82520"/>
    <m/>
    <x v="0"/>
    <x v="0"/>
    <x v="0"/>
    <m/>
    <x v="0"/>
    <x v="0"/>
  </r>
  <r>
    <s v="RESOLUÇÃO"/>
    <n v="213101"/>
    <x v="43"/>
    <x v="7"/>
    <x v="17"/>
    <x v="2"/>
    <n v="180000"/>
    <m/>
    <x v="0"/>
    <x v="0"/>
    <x v="0"/>
    <m/>
    <x v="0"/>
    <x v="0"/>
  </r>
  <r>
    <s v="RESOLUÇÃO"/>
    <n v="213125"/>
    <x v="44"/>
    <x v="7"/>
    <x v="17"/>
    <x v="2"/>
    <n v="379890"/>
    <m/>
    <x v="0"/>
    <x v="0"/>
    <x v="0"/>
    <m/>
    <x v="0"/>
    <x v="0"/>
  </r>
  <r>
    <s v="RESOLUÇÃO"/>
    <n v="213124"/>
    <x v="26"/>
    <x v="7"/>
    <x v="17"/>
    <x v="2"/>
    <n v="180000"/>
    <m/>
    <x v="0"/>
    <x v="0"/>
    <x v="0"/>
    <m/>
    <x v="0"/>
    <x v="0"/>
  </r>
  <r>
    <s v="RESOLUÇÃO"/>
    <n v="213123"/>
    <x v="40"/>
    <x v="7"/>
    <x v="17"/>
    <x v="2"/>
    <n v="540000"/>
    <m/>
    <x v="0"/>
    <x v="0"/>
    <x v="0"/>
    <m/>
    <x v="0"/>
    <x v="0"/>
  </r>
  <r>
    <s v="RESOLUÇÃO"/>
    <n v="213144"/>
    <x v="39"/>
    <x v="7"/>
    <x v="17"/>
    <x v="2"/>
    <n v="385723"/>
    <m/>
    <x v="0"/>
    <x v="0"/>
    <x v="0"/>
    <m/>
    <x v="0"/>
    <x v="0"/>
  </r>
  <r>
    <s v="RESOLUÇÃO"/>
    <n v="213146"/>
    <x v="45"/>
    <x v="7"/>
    <x v="17"/>
    <x v="2"/>
    <n v="230512"/>
    <m/>
    <x v="0"/>
    <x v="0"/>
    <x v="0"/>
    <m/>
    <x v="0"/>
    <x v="0"/>
  </r>
  <r>
    <s v="RESOLUÇÃO"/>
    <n v="221335"/>
    <x v="46"/>
    <x v="3"/>
    <x v="9"/>
    <x v="2"/>
    <n v="550000"/>
    <s v="DEPUTADO NORALDINO"/>
    <x v="1"/>
    <x v="6"/>
    <x v="9"/>
    <m/>
    <x v="0"/>
    <x v="0"/>
  </r>
  <r>
    <s v="RESOLUÇÃO UBS"/>
    <n v="211044"/>
    <x v="47"/>
    <x v="3"/>
    <x v="18"/>
    <x v="2"/>
    <n v="1979277.74"/>
    <s v="DEPUTADO NORALDINO"/>
    <x v="0"/>
    <x v="0"/>
    <x v="0"/>
    <s v="1320.01.0156997/2025-64/ 1320.01.0011698/2026-66"/>
    <x v="0"/>
    <x v="0"/>
  </r>
  <r>
    <s v="RESOLUÇÃO UBS"/>
    <n v="211045"/>
    <x v="48"/>
    <x v="3"/>
    <x v="18"/>
    <x v="2"/>
    <n v="1979277.74"/>
    <s v="DEPUTADO NORALDINO"/>
    <x v="0"/>
    <x v="0"/>
    <x v="0"/>
    <s v="1320.01.0156877/2025-06"/>
    <x v="0"/>
    <x v="0"/>
  </r>
  <r>
    <s v="RESOLUÇÃO UBS"/>
    <n v="211046"/>
    <x v="49"/>
    <x v="3"/>
    <x v="18"/>
    <x v="2"/>
    <n v="1979277.74"/>
    <s v="DEPUTADO NORALDINO"/>
    <x v="0"/>
    <x v="0"/>
    <x v="0"/>
    <s v="1320.01.0156811/2025-42/ 1320.01.0011794/2026-93"/>
    <x v="0"/>
    <x v="0"/>
  </r>
  <r>
    <s v="RESOLUÇÃO UBS"/>
    <n v="211047"/>
    <x v="50"/>
    <x v="3"/>
    <x v="18"/>
    <x v="2"/>
    <n v="1979277.74"/>
    <s v="DEPUTADO NORALDINO"/>
    <x v="0"/>
    <x v="0"/>
    <x v="0"/>
    <s v="1320.01.0166314/2025-26"/>
    <x v="0"/>
    <x v="0"/>
  </r>
  <r>
    <s v="RESOLUÇÃO UBS"/>
    <n v="206640"/>
    <x v="51"/>
    <x v="3"/>
    <x v="18"/>
    <x v="2"/>
    <n v="1979277.74"/>
    <s v="DEPUTADO NORALDINO"/>
    <x v="0"/>
    <x v="0"/>
    <x v="0"/>
    <s v="1320.01.0129031/2025-98"/>
    <x v="2"/>
    <x v="0"/>
  </r>
  <r>
    <s v="RESOLUÇÃO"/>
    <n v="221319"/>
    <x v="25"/>
    <x v="3"/>
    <x v="9"/>
    <x v="2"/>
    <n v="40608"/>
    <s v="DEPUTADO NORALDINO"/>
    <x v="1"/>
    <x v="6"/>
    <x v="9"/>
    <m/>
    <x v="0"/>
    <x v="0"/>
  </r>
  <r>
    <s v="RESOLUÇÃO"/>
    <n v="221318"/>
    <x v="52"/>
    <x v="3"/>
    <x v="9"/>
    <x v="2"/>
    <n v="311001"/>
    <s v="DEPUTADO NORALDINO"/>
    <x v="1"/>
    <x v="6"/>
    <x v="9"/>
    <m/>
    <x v="0"/>
    <x v="0"/>
  </r>
  <r>
    <s v="RESOLUÇÃO"/>
    <n v="221317"/>
    <x v="53"/>
    <x v="3"/>
    <x v="9"/>
    <x v="2"/>
    <n v="232000"/>
    <s v="DEPUTADO NORALDINO"/>
    <x v="1"/>
    <x v="6"/>
    <x v="9"/>
    <m/>
    <x v="0"/>
    <x v="0"/>
  </r>
  <r>
    <s v="RESOLUÇÃO"/>
    <n v="221316"/>
    <x v="54"/>
    <x v="3"/>
    <x v="9"/>
    <x v="2"/>
    <n v="498334"/>
    <s v="DEPUTADO NORALDINO"/>
    <x v="1"/>
    <x v="6"/>
    <x v="9"/>
    <m/>
    <x v="0"/>
    <x v="0"/>
  </r>
  <r>
    <s v="RESOLUÇÃO"/>
    <n v="221315"/>
    <x v="55"/>
    <x v="3"/>
    <x v="9"/>
    <x v="2"/>
    <n v="666295"/>
    <s v="DEPUTADO NORALDINO"/>
    <x v="1"/>
    <x v="6"/>
    <x v="9"/>
    <m/>
    <x v="0"/>
    <x v="0"/>
  </r>
  <r>
    <s v="RESOLUÇÃO"/>
    <n v="221314"/>
    <x v="56"/>
    <x v="3"/>
    <x v="9"/>
    <x v="2"/>
    <n v="33660"/>
    <s v="DEPUTADO NORALDINO"/>
    <x v="1"/>
    <x v="6"/>
    <x v="9"/>
    <m/>
    <x v="0"/>
    <x v="0"/>
  </r>
  <r>
    <s v="RESOLUÇÃO"/>
    <n v="221313"/>
    <x v="57"/>
    <x v="3"/>
    <x v="9"/>
    <x v="2"/>
    <n v="31292"/>
    <s v="DEPUTADO NORALDINO"/>
    <x v="1"/>
    <x v="6"/>
    <x v="9"/>
    <m/>
    <x v="0"/>
    <x v="0"/>
  </r>
  <r>
    <s v="RESOLUÇÃO"/>
    <n v="221312"/>
    <x v="58"/>
    <x v="3"/>
    <x v="9"/>
    <x v="2"/>
    <n v="273634"/>
    <s v="DEPUTADO NORALDINO"/>
    <x v="1"/>
    <x v="6"/>
    <x v="9"/>
    <m/>
    <x v="0"/>
    <x v="0"/>
  </r>
  <r>
    <s v="RESOLUÇÃO"/>
    <n v="221311"/>
    <x v="59"/>
    <x v="3"/>
    <x v="9"/>
    <x v="2"/>
    <n v="73440"/>
    <s v="DEPUTADO NORALDINO"/>
    <x v="1"/>
    <x v="6"/>
    <x v="9"/>
    <m/>
    <x v="0"/>
    <x v="0"/>
  </r>
  <r>
    <s v="RESOLUÇÃO"/>
    <n v="221310"/>
    <x v="60"/>
    <x v="3"/>
    <x v="9"/>
    <x v="2"/>
    <n v="5584"/>
    <s v="DEPUTADO NORALDINO"/>
    <x v="1"/>
    <x v="6"/>
    <x v="9"/>
    <m/>
    <x v="0"/>
    <x v="0"/>
  </r>
  <r>
    <s v="RESOLUÇÃO"/>
    <n v="221308"/>
    <x v="61"/>
    <x v="3"/>
    <x v="9"/>
    <x v="2"/>
    <n v="253457"/>
    <s v="DEPUTADO NORALDINO"/>
    <x v="1"/>
    <x v="6"/>
    <x v="9"/>
    <m/>
    <x v="0"/>
    <x v="0"/>
  </r>
  <r>
    <s v="RESOLUÇÃO UBS"/>
    <n v="206509"/>
    <x v="62"/>
    <x v="3"/>
    <x v="18"/>
    <x v="2"/>
    <n v="2182228.65"/>
    <s v="DEPUTADO NORALDINO"/>
    <x v="1"/>
    <x v="7"/>
    <x v="10"/>
    <s v="1320.01.0062149/2026-60"/>
    <x v="2"/>
    <x v="0"/>
  </r>
  <r>
    <s v="RESOLUÇÃO UBS"/>
    <n v="208179"/>
    <x v="63"/>
    <x v="3"/>
    <x v="18"/>
    <x v="2"/>
    <n v="1979277.74"/>
    <s v="DEPUTADO NORALDINO"/>
    <x v="1"/>
    <x v="7"/>
    <x v="11"/>
    <s v="1320.01.0050664/2026-46"/>
    <x v="0"/>
    <x v="0"/>
  </r>
  <r>
    <s v="RESOLUÇÃO UBS"/>
    <n v="208178"/>
    <x v="64"/>
    <x v="3"/>
    <x v="18"/>
    <x v="2"/>
    <n v="994065.67"/>
    <s v="DEPUTADO NORALDINO"/>
    <x v="1"/>
    <x v="7"/>
    <x v="12"/>
    <s v="1320.01.0052183/2026-64"/>
    <x v="0"/>
    <x v="0"/>
  </r>
  <r>
    <s v="RESOLUÇÃO UBS"/>
    <n v="208177"/>
    <x v="65"/>
    <x v="3"/>
    <x v="18"/>
    <x v="2"/>
    <n v="994065.67"/>
    <s v="DEPUTADO NORALDINO"/>
    <x v="1"/>
    <x v="7"/>
    <x v="12"/>
    <s v="1320.01.0050786/2026-5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6B4A5-7F06-45EC-8E4D-53592CB11C73}" name="Tabela dinâmica1" cacheId="3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G36" firstHeaderRow="1" firstDataRow="2" firstDataCol="3" rowPageCount="2" colPageCount="1"/>
  <pivotFields count="14">
    <pivotField compact="0" outline="0" showAll="0" defaultSubtotal="0"/>
    <pivotField compact="0" outline="0" showAll="0" defaultSubtotal="0"/>
    <pivotField axis="axisRow" compact="0" outline="0" showAll="0" defaultSubtotal="0">
      <items count="66">
        <item x="48"/>
        <item x="6"/>
        <item x="36"/>
        <item x="13"/>
        <item x="14"/>
        <item x="29"/>
        <item x="0"/>
        <item x="44"/>
        <item x="15"/>
        <item x="11"/>
        <item x="25"/>
        <item x="42"/>
        <item x="65"/>
        <item x="64"/>
        <item x="63"/>
        <item x="51"/>
        <item x="47"/>
        <item x="49"/>
        <item x="62"/>
        <item x="50"/>
        <item x="4"/>
        <item x="3"/>
        <item x="5"/>
        <item x="8"/>
        <item x="43"/>
        <item x="2"/>
        <item x="33"/>
        <item x="31"/>
        <item x="26"/>
        <item x="40"/>
        <item x="35"/>
        <item x="30"/>
        <item x="9"/>
        <item x="16"/>
        <item x="10"/>
        <item x="17"/>
        <item x="18"/>
        <item x="32"/>
        <item x="19"/>
        <item x="7"/>
        <item x="1"/>
        <item x="41"/>
        <item x="20"/>
        <item x="21"/>
        <item x="37"/>
        <item x="22"/>
        <item x="23"/>
        <item x="12"/>
        <item x="28"/>
        <item x="34"/>
        <item x="27"/>
        <item x="39"/>
        <item x="45"/>
        <item x="24"/>
        <item x="38"/>
        <item x="46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outline="0" showAll="0" defaultSubtotal="0">
      <items count="8">
        <item sd="0" x="6"/>
        <item x="0"/>
        <item x="5"/>
        <item sd="0" x="1"/>
        <item x="7"/>
        <item x="2"/>
        <item sd="0" x="3"/>
        <item x="4"/>
      </items>
    </pivotField>
    <pivotField axis="axisRow" compact="0" outline="0" showAll="0" defaultSubtotal="0">
      <items count="19">
        <item x="13"/>
        <item x="6"/>
        <item x="11"/>
        <item x="16"/>
        <item x="7"/>
        <item x="2"/>
        <item x="15"/>
        <item x="1"/>
        <item x="17"/>
        <item x="10"/>
        <item x="4"/>
        <item x="5"/>
        <item x="0"/>
        <item x="9"/>
        <item x="8"/>
        <item x="12"/>
        <item x="3"/>
        <item x="18"/>
        <item x="14"/>
      </items>
    </pivotField>
    <pivotField compact="0" outline="0" showAll="0"/>
    <pivotField dataField="1" compact="0" numFmtId="164" outline="0" showAll="0" defaultSubtotal="0"/>
    <pivotField compact="0" outline="0" showAll="0" defaultSubtota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>
      <items count="9">
        <item x="6"/>
        <item x="7"/>
        <item x="1"/>
        <item x="3"/>
        <item x="2"/>
        <item x="4"/>
        <item x="5"/>
        <item x="0"/>
        <item t="default"/>
      </items>
    </pivotField>
    <pivotField axis="axisPage" compact="0" outline="0" multipleItemSelectionAllowed="1" showAll="0">
      <items count="14">
        <item h="1" x="6"/>
        <item x="8"/>
        <item h="1" x="4"/>
        <item h="1" x="9"/>
        <item h="1" x="2"/>
        <item h="1" x="3"/>
        <item h="1" x="1"/>
        <item h="1" x="11"/>
        <item h="1" x="12"/>
        <item h="1" x="10"/>
        <item x="0"/>
        <item h="1" x="5"/>
        <item h="1" x="7"/>
        <item t="default"/>
      </items>
    </pivotField>
    <pivotField compact="0" outline="0" showAll="0" defaultSubtotal="0"/>
    <pivotField axis="axisCol" compact="0" outline="0" showAll="0" defaultSubtotal="0">
      <items count="3">
        <item x="1"/>
        <item x="2"/>
        <item x="0"/>
      </items>
    </pivotField>
    <pivotField axis="axisPage" compact="0" outline="0" showAll="0" defaultSubtotal="0">
      <items count="2">
        <item h="1" x="1"/>
        <item x="0"/>
      </items>
    </pivotField>
  </pivotFields>
  <rowFields count="3">
    <field x="3"/>
    <field x="4"/>
    <field x="2"/>
  </rowFields>
  <rowItems count="30">
    <i>
      <x/>
    </i>
    <i>
      <x v="1"/>
      <x v="4"/>
      <x v="34"/>
    </i>
    <i r="1">
      <x v="7"/>
      <x v="40"/>
    </i>
    <i r="1">
      <x v="12"/>
      <x v="6"/>
    </i>
    <i r="2">
      <x v="9"/>
    </i>
    <i r="2">
      <x v="47"/>
    </i>
    <i r="1">
      <x v="14"/>
      <x v="3"/>
    </i>
    <i r="2">
      <x v="4"/>
    </i>
    <i r="2">
      <x v="8"/>
    </i>
    <i r="2">
      <x v="33"/>
    </i>
    <i r="2">
      <x v="35"/>
    </i>
    <i r="2">
      <x v="36"/>
    </i>
    <i r="2">
      <x v="38"/>
    </i>
    <i r="2">
      <x v="42"/>
    </i>
    <i r="2">
      <x v="43"/>
    </i>
    <i r="2">
      <x v="45"/>
    </i>
    <i r="2">
      <x v="46"/>
    </i>
    <i r="2">
      <x v="53"/>
    </i>
    <i>
      <x v="2"/>
      <x v="15"/>
      <x v="27"/>
    </i>
    <i r="2">
      <x v="37"/>
    </i>
    <i>
      <x v="3"/>
    </i>
    <i>
      <x v="4"/>
      <x v="8"/>
      <x v="7"/>
    </i>
    <i r="2">
      <x v="11"/>
    </i>
    <i r="2">
      <x v="24"/>
    </i>
    <i r="2">
      <x v="28"/>
    </i>
    <i r="2">
      <x v="29"/>
    </i>
    <i r="2">
      <x v="51"/>
    </i>
    <i r="2">
      <x v="52"/>
    </i>
    <i>
      <x v="6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2">
    <pageField fld="13" item="1" hier="-1"/>
    <pageField fld="10" hier="-1"/>
  </pageFields>
  <dataFields count="1">
    <dataField name="Soma de VALOR DO PLEITO" fld="6" baseField="0" baseItem="0" numFmtId="164"/>
  </dataFields>
  <formats count="25">
    <format dxfId="55">
      <pivotArea dataOnly="0" labelOnly="1" outline="0" fieldPosition="0">
        <references count="1">
          <reference field="13" count="0"/>
        </references>
      </pivotArea>
    </format>
    <format dxfId="56">
      <pivotArea field="2" type="button" dataOnly="0" labelOnly="1" outline="0" axis="axisRow" fieldPosition="2"/>
    </format>
    <format dxfId="57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58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59">
      <pivotArea dataOnly="0" labelOnly="1" outline="0" fieldPosition="0">
        <references count="1">
          <reference field="3" count="1" defaultSubtotal="1">
            <x v="2"/>
          </reference>
        </references>
      </pivotArea>
    </format>
    <format dxfId="60">
      <pivotArea dataOnly="0" labelOnly="1" outline="0" fieldPosition="0">
        <references count="1">
          <reference field="3" count="1" defaultSubtotal="1">
            <x v="3"/>
          </reference>
        </references>
      </pivotArea>
    </format>
    <format dxfId="61">
      <pivotArea dataOnly="0" labelOnly="1" outline="0" fieldPosition="0">
        <references count="1">
          <reference field="3" count="1" defaultSubtotal="1">
            <x v="4"/>
          </reference>
        </references>
      </pivotArea>
    </format>
    <format dxfId="62">
      <pivotArea dataOnly="0" labelOnly="1" outline="0" fieldPosition="0">
        <references count="1">
          <reference field="3" count="1" defaultSubtotal="1">
            <x v="5"/>
          </reference>
        </references>
      </pivotArea>
    </format>
    <format dxfId="63">
      <pivotArea dataOnly="0" labelOnly="1" outline="0" fieldPosition="0">
        <references count="1">
          <reference field="3" count="1" defaultSubtotal="1">
            <x v="6"/>
          </reference>
        </references>
      </pivotArea>
    </format>
    <format dxfId="64">
      <pivotArea dataOnly="0" labelOnly="1" outline="0" fieldPosition="0">
        <references count="1">
          <reference field="3" count="1" defaultSubtotal="1">
            <x v="7"/>
          </reference>
        </references>
      </pivotArea>
    </format>
    <format dxfId="65">
      <pivotArea dataOnly="0" labelOnly="1" grandRow="1" outline="0" fieldPosition="0"/>
    </format>
    <format dxfId="66">
      <pivotArea dataOnly="0" labelOnly="1" outline="0" fieldPosition="0">
        <references count="2">
          <reference field="2" count="1">
            <x v="29"/>
          </reference>
          <reference field="3" count="1" selected="0">
            <x v="0"/>
          </reference>
        </references>
      </pivotArea>
    </format>
    <format dxfId="67">
      <pivotArea dataOnly="0" labelOnly="1" outline="0" fieldPosition="0">
        <references count="2">
          <reference field="2" count="21">
            <x v="1"/>
            <x v="3"/>
            <x v="4"/>
            <x v="6"/>
            <x v="8"/>
            <x v="9"/>
            <x v="23"/>
            <x v="33"/>
            <x v="34"/>
            <x v="35"/>
            <x v="36"/>
            <x v="38"/>
            <x v="39"/>
            <x v="40"/>
            <x v="41"/>
            <x v="42"/>
            <x v="43"/>
            <x v="45"/>
            <x v="46"/>
            <x v="47"/>
            <x v="53"/>
          </reference>
          <reference field="3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2" count="2">
            <x v="27"/>
            <x v="37"/>
          </reference>
          <reference field="3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2" count="2">
            <x v="25"/>
            <x v="32"/>
          </reference>
          <reference field="3" count="1" selected="0">
            <x v="3"/>
          </reference>
        </references>
      </pivotArea>
    </format>
    <format dxfId="70">
      <pivotArea dataOnly="0" labelOnly="1" outline="0" fieldPosition="0">
        <references count="2">
          <reference field="2" count="7">
            <x v="7"/>
            <x v="11"/>
            <x v="24"/>
            <x v="28"/>
            <x v="29"/>
            <x v="51"/>
            <x v="52"/>
          </reference>
          <reference field="3" count="1" selected="0">
            <x v="4"/>
          </reference>
        </references>
      </pivotArea>
    </format>
    <format dxfId="71">
      <pivotArea dataOnly="0" labelOnly="1" outline="0" fieldPosition="0">
        <references count="2">
          <reference field="2" count="1">
            <x v="21"/>
          </reference>
          <reference field="3" count="1" selected="0">
            <x v="5"/>
          </reference>
        </references>
      </pivotArea>
    </format>
    <format dxfId="72">
      <pivotArea dataOnly="0" labelOnly="1" outline="0" fieldPosition="0">
        <references count="2">
          <reference field="2" count="28">
            <x v="0"/>
            <x v="2"/>
            <x v="4"/>
            <x v="5"/>
            <x v="10"/>
            <x v="12"/>
            <x v="13"/>
            <x v="14"/>
            <x v="15"/>
            <x v="16"/>
            <x v="17"/>
            <x v="18"/>
            <x v="19"/>
            <x v="20"/>
            <x v="26"/>
            <x v="28"/>
            <x v="29"/>
            <x v="30"/>
            <x v="31"/>
            <x v="38"/>
            <x v="43"/>
            <x v="44"/>
            <x v="45"/>
            <x v="48"/>
            <x v="49"/>
            <x v="50"/>
            <x v="51"/>
            <x v="54"/>
          </reference>
          <reference field="3" count="1" selected="0">
            <x v="6"/>
          </reference>
        </references>
      </pivotArea>
    </format>
    <format dxfId="73">
      <pivotArea dataOnly="0" labelOnly="1" outline="0" fieldPosition="0">
        <references count="2">
          <reference field="2" count="1">
            <x v="22"/>
          </reference>
          <reference field="3" count="1" selected="0">
            <x v="7"/>
          </reference>
        </references>
      </pivotArea>
    </format>
    <format dxfId="74">
      <pivotArea outline="0" fieldPosition="0">
        <references count="2">
          <reference field="2" count="1" selected="0">
            <x v="23"/>
          </reference>
          <reference field="3" count="1" selected="0">
            <x v="1"/>
          </reference>
        </references>
      </pivotArea>
    </format>
    <format dxfId="75">
      <pivotArea dataOnly="0" labelOnly="1" outline="0" fieldPosition="0">
        <references count="2">
          <reference field="2" count="1">
            <x v="23"/>
          </reference>
          <reference field="3" count="1" selected="0">
            <x v="1"/>
          </reference>
        </references>
      </pivotArea>
    </format>
    <format dxfId="76">
      <pivotArea outline="0" fieldPosition="0">
        <references count="2">
          <reference field="2" count="1" selected="0">
            <x v="39"/>
          </reference>
          <reference field="3" count="1" selected="0">
            <x v="1"/>
          </reference>
        </references>
      </pivotArea>
    </format>
    <format dxfId="77">
      <pivotArea dataOnly="0" labelOnly="1" outline="0" fieldPosition="0">
        <references count="2">
          <reference field="2" count="1">
            <x v="39"/>
          </reference>
          <reference field="3" count="1" selected="0">
            <x v="1"/>
          </reference>
        </references>
      </pivotArea>
    </format>
    <format dxfId="78">
      <pivotArea outline="0" fieldPosition="0">
        <references count="2">
          <reference field="2" count="1" selected="0">
            <x v="32"/>
          </reference>
          <reference field="3" count="1" selected="0">
            <x v="3"/>
          </reference>
        </references>
      </pivotArea>
    </format>
    <format dxfId="79">
      <pivotArea dataOnly="0" labelOnly="1" outline="0" fieldPosition="0">
        <references count="2">
          <reference field="2" count="1">
            <x v="32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80" totalsRowCount="1" headerRowDxfId="54" dataDxfId="53">
  <autoFilter ref="A1:M7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xmlns:xlrd2="http://schemas.microsoft.com/office/spreadsheetml/2017/richdata2" ref="A2:M79">
    <sortCondition ref="A1:A79"/>
  </sortState>
  <tableColumns count="13">
    <tableColumn id="1" xr3:uid="{00000000-0010-0000-0000-000001000000}" name="INSTRUMENTO" dataDxfId="51" totalsRowDxfId="52"/>
    <tableColumn id="2" xr3:uid="{00000000-0010-0000-0000-000002000000}" name="NÚMERO DA INDICAÇÃO" dataDxfId="49" totalsRowDxfId="50"/>
    <tableColumn id="3" xr3:uid="{00000000-0010-0000-0000-000003000000}" name="OBJETO" dataDxfId="47" totalsRowDxfId="48"/>
    <tableColumn id="4" xr3:uid="{00000000-0010-0000-0000-000004000000}" name="MUNICÍPIO" dataDxfId="45" totalsRowDxfId="46"/>
    <tableColumn id="5" xr3:uid="{00000000-0010-0000-0000-000005000000}" name="BENEFICIÁRIO" dataDxfId="43" totalsRowDxfId="44"/>
    <tableColumn id="6" xr3:uid="{00000000-0010-0000-0000-000006000000}" name="VALOR DO PLEITO" totalsRowFunction="sum" dataDxfId="41" totalsRowDxfId="42"/>
    <tableColumn id="13" xr3:uid="{35F11A94-3B78-4C0E-B33F-47FA99BAA25F}" name="PADRINHO" dataDxfId="39" totalsRowDxfId="40"/>
    <tableColumn id="7" xr3:uid="{00000000-0010-0000-0000-000007000000}" name="STATUS (03/07)" dataDxfId="37" totalsRowDxfId="38"/>
    <tableColumn id="9" xr3:uid="{00000000-0010-0000-0000-000009000000}" name="ETAPA DE CELEBRAÇÃO" dataDxfId="35" totalsRowDxfId="36"/>
    <tableColumn id="8" xr3:uid="{00000000-0010-0000-0000-000008000000}" name="DETALHAMENTO ETAPA DE CELEBRAÇÃO" dataDxfId="33" totalsRowDxfId="34"/>
    <tableColumn id="10" xr3:uid="{00000000-0010-0000-0000-00000A000000}" name="SEI" dataDxfId="31" totalsRowDxfId="32"/>
    <tableColumn id="11" xr3:uid="{C7FF9A18-CF27-4A33-AD3C-C9D8363849B7}" name="FONTE FINAL" dataDxfId="29" totalsRowDxfId="30"/>
    <tableColumn id="12" xr3:uid="{E6827205-8CFC-409A-A355-10582A37EF0C}" name="ACORDO SUDESTE" dataDxfId="27" totalsRow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508D34-37FA-4B14-8A4E-80FFB0E3093E}" name="Tabela2" displayName="Tabela2" ref="K5:N11" totalsRowCount="1">
  <autoFilter ref="K5:N10" xr:uid="{27508D34-37FA-4B14-8A4E-80FFB0E3093E}"/>
  <tableColumns count="4">
    <tableColumn id="1" xr3:uid="{CC509405-30F1-4825-8192-3EC50ABDFF61}" name="STATUS/FONTE" dataDxfId="25" totalsRowDxfId="26"/>
    <tableColumn id="2" xr3:uid="{87F74B73-C59F-477B-A646-06C68DD6E957}" name="10" dataDxfId="23" totalsRowDxfId="24"/>
    <tableColumn id="3" xr3:uid="{26B4DB90-15F4-461B-AB6A-739FB80A3E84}" name="95" totalsRowFunction="custom" dataDxfId="21" totalsRowDxfId="22">
      <totalsRowFormula>M10-150000000</totalsRowFormula>
    </tableColumn>
    <tableColumn id="4" xr3:uid="{3C888B67-21B6-4E11-A86F-7F56049FCA2B}" name="TOTAL" dataDxfId="19" totalsRowDxfId="20">
      <calculatedColumnFormula>SUM(L6:M6)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9874AF-5692-4C50-9C93-EB0FB25EB5DB}" name="Tabela1114" displayName="Tabela1114" ref="A1:G46" totalsRowCount="1" headerRowDxfId="18" dataDxfId="17" headerRowBorderDxfId="15" tableBorderDxfId="16" totalsRowBorderDxfId="14">
  <autoFilter ref="A1:G45" xr:uid="{F09874AF-5692-4C50-9C93-EB0FB25EB5DB}">
    <filterColumn colId="0">
      <filters>
        <filter val="Juiz de Fora"/>
      </filters>
    </filterColumn>
  </autoFilter>
  <sortState xmlns:xlrd2="http://schemas.microsoft.com/office/spreadsheetml/2017/richdata2" ref="A2:G45">
    <sortCondition ref="E1:E45"/>
  </sortState>
  <tableColumns count="7">
    <tableColumn id="1" xr3:uid="{6C5F180F-8F37-4C4F-917E-07BB9F756DD5}" name="Município Polo" dataDxfId="12" totalsRowDxfId="13"/>
    <tableColumn id="2" xr3:uid="{92F45439-9FAA-42AF-992E-C38126B7B0CE}" name="Destino do Investimeto" dataDxfId="10" totalsRowDxfId="11"/>
    <tableColumn id="3" xr3:uid="{36FF8C7F-A7F3-401C-ACEC-D9F4DEE8CCC4}" name=" Valor total " totalsRowFunction="sum" dataDxfId="8" totalsRowDxfId="9"/>
    <tableColumn id="4" xr3:uid="{F041C80A-0BB2-441E-8F0E-8642ED5AB679}" name="Descrição" dataDxfId="6" totalsRowDxfId="7"/>
    <tableColumn id="5" xr3:uid="{2F7F2483-F97E-4D81-AE50-44D44158562F}" name="Status" dataDxfId="4" totalsRowDxfId="5"/>
    <tableColumn id="8" xr3:uid="{54860C2F-5B7E-4F26-811F-61D89CF41BB3}" name="Origem" dataDxfId="2" totalsRowDxfId="3"/>
    <tableColumn id="9" xr3:uid="{3E998D53-F347-4831-B566-31FAF5455D93}" name="Observaçõe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saudemg-my.sharepoint.com/:x:/g/personal/ana_julia_saude_mg_gov_br/EY_QcvuPIMtEozVO0ubZN6ABS7mr_kb2-K-7P-efMxQnIg?e=dXPSa6&amp;nav=MTVfe0IzQzg4MDU4LTAzQ0QtNDk2Qy05OTBGLURFNUM1NzFFMTM3NH0" TargetMode="External"/><Relationship Id="rId1" Type="http://schemas.openxmlformats.org/officeDocument/2006/relationships/hyperlink" Target="https://saudemg-my.sharepoint.com/:x:/g/personal/ana_julia_saude_mg_gov_br/EY_QcvuPIMtEozVO0ubZN6ABS7mr_kb2-K-7P-efMxQnIg?e=SsfjuD&amp;nav=MTVfezE0NkRGOTQzLTAwRUQtNDdFOC1BOEVCLUQyRDRFMTYwNUNER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/>
  </sheetViews>
  <sheetFormatPr defaultColWidth="9.140625" defaultRowHeight="15"/>
  <cols>
    <col min="1" max="1" width="19" style="2" bestFit="1" customWidth="1"/>
    <col min="2" max="2" width="16.5703125" style="2" customWidth="1"/>
    <col min="3" max="3" width="63.28515625" style="2" bestFit="1" customWidth="1"/>
    <col min="4" max="4" width="16.28515625" style="2" customWidth="1"/>
    <col min="5" max="5" width="25.140625" style="2" bestFit="1" customWidth="1"/>
    <col min="6" max="6" width="18.7109375" style="8" customWidth="1"/>
    <col min="7" max="7" width="18.7109375" style="2" customWidth="1"/>
    <col min="8" max="8" width="20.5703125" style="2" customWidth="1"/>
    <col min="9" max="9" width="42.5703125" style="2" customWidth="1"/>
    <col min="10" max="10" width="45.28515625" style="2" bestFit="1" customWidth="1"/>
    <col min="11" max="11" width="36.7109375" style="2" customWidth="1"/>
    <col min="12" max="16384" width="9.140625" style="2"/>
  </cols>
  <sheetData>
    <row r="1" spans="1:16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42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6">
        <v>7979611.6799999997</v>
      </c>
      <c r="G2" s="3" t="s">
        <v>18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6" ht="96" customHeight="1">
      <c r="A3" s="1" t="s">
        <v>13</v>
      </c>
      <c r="B3" s="1" t="s">
        <v>14</v>
      </c>
      <c r="C3" s="1" t="s">
        <v>23</v>
      </c>
      <c r="D3" s="1" t="s">
        <v>16</v>
      </c>
      <c r="E3" s="1" t="s">
        <v>24</v>
      </c>
      <c r="F3" s="6">
        <v>4999731.34</v>
      </c>
      <c r="G3" s="3" t="s">
        <v>18</v>
      </c>
      <c r="H3" s="1" t="s">
        <v>19</v>
      </c>
      <c r="I3" s="1" t="s">
        <v>19</v>
      </c>
      <c r="J3" s="1" t="s">
        <v>19</v>
      </c>
      <c r="K3" s="1" t="s">
        <v>25</v>
      </c>
      <c r="L3" s="1" t="s">
        <v>21</v>
      </c>
      <c r="M3" s="1" t="s">
        <v>22</v>
      </c>
    </row>
    <row r="4" spans="1:16" ht="45.75">
      <c r="A4" s="1" t="s">
        <v>13</v>
      </c>
      <c r="B4" s="1">
        <v>182961</v>
      </c>
      <c r="C4" s="1" t="s">
        <v>26</v>
      </c>
      <c r="D4" s="1" t="s">
        <v>27</v>
      </c>
      <c r="E4" s="1" t="s">
        <v>28</v>
      </c>
      <c r="F4" s="6">
        <v>7953110.3799999999</v>
      </c>
      <c r="G4" s="3" t="s">
        <v>18</v>
      </c>
      <c r="H4" s="1" t="s">
        <v>19</v>
      </c>
      <c r="I4" s="1" t="s">
        <v>19</v>
      </c>
      <c r="J4" s="1" t="s">
        <v>19</v>
      </c>
      <c r="K4" s="1" t="s">
        <v>29</v>
      </c>
      <c r="L4" s="1" t="s">
        <v>30</v>
      </c>
      <c r="M4" s="1" t="s">
        <v>22</v>
      </c>
    </row>
    <row r="5" spans="1:16" ht="45.75">
      <c r="A5" s="1" t="s">
        <v>13</v>
      </c>
      <c r="B5" s="1">
        <v>152057</v>
      </c>
      <c r="C5" s="1" t="s">
        <v>31</v>
      </c>
      <c r="D5" s="1" t="s">
        <v>32</v>
      </c>
      <c r="E5" s="1" t="s">
        <v>33</v>
      </c>
      <c r="F5" s="6">
        <v>12968960</v>
      </c>
      <c r="G5" s="3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21</v>
      </c>
      <c r="M5" s="1" t="s">
        <v>39</v>
      </c>
    </row>
    <row r="6" spans="1:16" ht="30.75">
      <c r="A6" s="1" t="s">
        <v>13</v>
      </c>
      <c r="B6" s="1" t="s">
        <v>14</v>
      </c>
      <c r="C6" s="1" t="s">
        <v>40</v>
      </c>
      <c r="D6" s="1" t="s">
        <v>41</v>
      </c>
      <c r="E6" s="1" t="s">
        <v>42</v>
      </c>
      <c r="F6" s="6">
        <v>5000000</v>
      </c>
      <c r="G6" s="3" t="s">
        <v>43</v>
      </c>
      <c r="H6" s="1" t="s">
        <v>35</v>
      </c>
      <c r="I6" s="1" t="s">
        <v>44</v>
      </c>
      <c r="J6" s="1" t="s">
        <v>45</v>
      </c>
      <c r="K6" s="1" t="s">
        <v>46</v>
      </c>
      <c r="L6" s="1" t="s">
        <v>21</v>
      </c>
      <c r="M6" s="1" t="s">
        <v>22</v>
      </c>
    </row>
    <row r="7" spans="1:16" ht="45.75">
      <c r="A7" s="1" t="s">
        <v>13</v>
      </c>
      <c r="B7" s="1" t="s">
        <v>14</v>
      </c>
      <c r="C7" s="1" t="s">
        <v>47</v>
      </c>
      <c r="D7" s="1" t="s">
        <v>48</v>
      </c>
      <c r="E7" s="1" t="s">
        <v>49</v>
      </c>
      <c r="F7" s="6">
        <v>40000000</v>
      </c>
      <c r="G7" s="3" t="s">
        <v>18</v>
      </c>
      <c r="H7" s="1" t="s">
        <v>35</v>
      </c>
      <c r="I7" s="1" t="s">
        <v>44</v>
      </c>
      <c r="J7" s="1" t="s">
        <v>50</v>
      </c>
      <c r="K7" s="1" t="s">
        <v>51</v>
      </c>
      <c r="L7" s="1" t="s">
        <v>21</v>
      </c>
      <c r="M7" s="1" t="s">
        <v>39</v>
      </c>
    </row>
    <row r="8" spans="1:16" ht="30.75">
      <c r="A8" s="1" t="s">
        <v>13</v>
      </c>
      <c r="B8" s="1">
        <v>211213</v>
      </c>
      <c r="C8" s="1" t="s">
        <v>52</v>
      </c>
      <c r="D8" s="1" t="s">
        <v>16</v>
      </c>
      <c r="E8" s="1" t="s">
        <v>53</v>
      </c>
      <c r="F8" s="6">
        <v>11000000</v>
      </c>
      <c r="G8" s="3" t="s">
        <v>43</v>
      </c>
      <c r="H8" s="1" t="s">
        <v>35</v>
      </c>
      <c r="I8" s="1" t="s">
        <v>54</v>
      </c>
      <c r="J8" s="1" t="s">
        <v>55</v>
      </c>
      <c r="K8" s="1" t="s">
        <v>56</v>
      </c>
      <c r="L8" s="1" t="s">
        <v>21</v>
      </c>
      <c r="M8" s="1" t="s">
        <v>22</v>
      </c>
      <c r="N8"/>
      <c r="O8"/>
      <c r="P8"/>
    </row>
    <row r="9" spans="1:16" ht="30.75">
      <c r="A9" s="1" t="s">
        <v>13</v>
      </c>
      <c r="B9" s="4" t="s">
        <v>14</v>
      </c>
      <c r="C9" s="5" t="s">
        <v>57</v>
      </c>
      <c r="D9" s="5" t="s">
        <v>16</v>
      </c>
      <c r="E9" s="5" t="s">
        <v>53</v>
      </c>
      <c r="F9" s="7">
        <v>15000000</v>
      </c>
      <c r="G9" s="3" t="s">
        <v>43</v>
      </c>
      <c r="H9" s="5" t="s">
        <v>58</v>
      </c>
      <c r="I9" s="5" t="s">
        <v>14</v>
      </c>
      <c r="J9" s="34" t="s">
        <v>59</v>
      </c>
      <c r="K9" s="5"/>
      <c r="L9" s="1" t="s">
        <v>21</v>
      </c>
      <c r="M9" s="1" t="s">
        <v>22</v>
      </c>
      <c r="N9"/>
      <c r="O9"/>
      <c r="P9"/>
    </row>
    <row r="10" spans="1:16" ht="30.75">
      <c r="A10" s="1" t="s">
        <v>13</v>
      </c>
      <c r="B10" s="1" t="s">
        <v>14</v>
      </c>
      <c r="C10" s="1" t="s">
        <v>60</v>
      </c>
      <c r="D10" s="1" t="s">
        <v>16</v>
      </c>
      <c r="E10" s="1" t="s">
        <v>24</v>
      </c>
      <c r="F10" s="6">
        <v>65000000</v>
      </c>
      <c r="G10" s="3"/>
      <c r="H10" s="5" t="s">
        <v>61</v>
      </c>
      <c r="I10" s="5" t="s">
        <v>14</v>
      </c>
      <c r="J10" s="5" t="s">
        <v>61</v>
      </c>
      <c r="K10" s="1"/>
      <c r="L10" s="1" t="s">
        <v>21</v>
      </c>
      <c r="M10" s="1" t="s">
        <v>22</v>
      </c>
      <c r="N10"/>
      <c r="O10"/>
      <c r="P10"/>
    </row>
    <row r="11" spans="1:16" ht="30.75">
      <c r="A11" s="1" t="s">
        <v>13</v>
      </c>
      <c r="B11" s="1" t="s">
        <v>14</v>
      </c>
      <c r="C11" s="1" t="s">
        <v>62</v>
      </c>
      <c r="D11" s="1" t="s">
        <v>27</v>
      </c>
      <c r="E11" s="1" t="s">
        <v>28</v>
      </c>
      <c r="F11" s="6">
        <v>15000000</v>
      </c>
      <c r="G11" s="3"/>
      <c r="H11" s="5" t="s">
        <v>58</v>
      </c>
      <c r="I11" s="5" t="s">
        <v>14</v>
      </c>
      <c r="J11" s="5" t="s">
        <v>63</v>
      </c>
      <c r="K11" s="1"/>
      <c r="L11" s="1" t="s">
        <v>21</v>
      </c>
      <c r="M11" s="1" t="s">
        <v>22</v>
      </c>
      <c r="N11"/>
      <c r="O11"/>
      <c r="P11"/>
    </row>
    <row r="12" spans="1:16" ht="34.5" customHeight="1">
      <c r="A12" s="1" t="s">
        <v>64</v>
      </c>
      <c r="B12" s="1" t="s">
        <v>14</v>
      </c>
      <c r="C12" s="1" t="s">
        <v>65</v>
      </c>
      <c r="D12" s="1" t="s">
        <v>16</v>
      </c>
      <c r="E12" s="1" t="s">
        <v>66</v>
      </c>
      <c r="F12" s="6">
        <v>13500000</v>
      </c>
      <c r="G12" s="3"/>
      <c r="H12" s="1" t="s">
        <v>35</v>
      </c>
      <c r="I12" s="5" t="s">
        <v>14</v>
      </c>
      <c r="J12" s="5" t="s">
        <v>67</v>
      </c>
      <c r="K12" s="1"/>
      <c r="L12" s="1" t="s">
        <v>21</v>
      </c>
      <c r="M12" s="1" t="s">
        <v>22</v>
      </c>
    </row>
    <row r="13" spans="1:16" ht="30.75">
      <c r="A13" s="1" t="s">
        <v>68</v>
      </c>
      <c r="B13" s="1">
        <v>182092</v>
      </c>
      <c r="C13" s="1" t="s">
        <v>69</v>
      </c>
      <c r="D13" s="1" t="s">
        <v>16</v>
      </c>
      <c r="E13" s="1" t="s">
        <v>17</v>
      </c>
      <c r="F13" s="6">
        <v>332670</v>
      </c>
      <c r="G13" s="3" t="s">
        <v>18</v>
      </c>
      <c r="H13" s="1" t="s">
        <v>19</v>
      </c>
      <c r="I13" s="1" t="s">
        <v>19</v>
      </c>
      <c r="J13" s="1" t="s">
        <v>19</v>
      </c>
      <c r="K13" s="1" t="s">
        <v>70</v>
      </c>
      <c r="L13" s="1" t="s">
        <v>30</v>
      </c>
      <c r="M13" s="1" t="s">
        <v>22</v>
      </c>
    </row>
    <row r="14" spans="1:16" ht="30.75">
      <c r="A14" s="1" t="s">
        <v>68</v>
      </c>
      <c r="B14" s="1">
        <v>182093</v>
      </c>
      <c r="C14" s="1" t="s">
        <v>71</v>
      </c>
      <c r="D14" s="1" t="s">
        <v>16</v>
      </c>
      <c r="E14" s="1" t="s">
        <v>17</v>
      </c>
      <c r="F14" s="6">
        <v>490000</v>
      </c>
      <c r="G14" s="3" t="s">
        <v>18</v>
      </c>
      <c r="H14" s="1" t="s">
        <v>19</v>
      </c>
      <c r="I14" s="1" t="s">
        <v>19</v>
      </c>
      <c r="J14" s="1" t="s">
        <v>19</v>
      </c>
      <c r="K14" s="1" t="s">
        <v>70</v>
      </c>
      <c r="L14" s="1" t="s">
        <v>30</v>
      </c>
      <c r="M14" s="1" t="s">
        <v>22</v>
      </c>
    </row>
    <row r="15" spans="1:16" ht="30.75">
      <c r="A15" s="1" t="s">
        <v>68</v>
      </c>
      <c r="B15" s="1">
        <v>196203</v>
      </c>
      <c r="C15" s="1" t="s">
        <v>72</v>
      </c>
      <c r="D15" s="1" t="s">
        <v>16</v>
      </c>
      <c r="E15" s="1" t="s">
        <v>73</v>
      </c>
      <c r="F15" s="6">
        <v>1558823</v>
      </c>
      <c r="G15" s="3" t="s">
        <v>74</v>
      </c>
      <c r="H15" s="1" t="s">
        <v>19</v>
      </c>
      <c r="I15" s="5" t="s">
        <v>19</v>
      </c>
      <c r="J15" s="5" t="s">
        <v>19</v>
      </c>
      <c r="K15" s="1"/>
      <c r="L15" s="1" t="s">
        <v>21</v>
      </c>
      <c r="M15" s="1" t="s">
        <v>22</v>
      </c>
    </row>
    <row r="16" spans="1:16" ht="30.75">
      <c r="A16" s="1" t="s">
        <v>68</v>
      </c>
      <c r="B16" s="1">
        <v>196202</v>
      </c>
      <c r="C16" s="1" t="s">
        <v>75</v>
      </c>
      <c r="D16" s="1" t="s">
        <v>16</v>
      </c>
      <c r="E16" s="1" t="s">
        <v>73</v>
      </c>
      <c r="F16" s="6">
        <v>389188</v>
      </c>
      <c r="G16" s="3" t="s">
        <v>74</v>
      </c>
      <c r="H16" s="1" t="s">
        <v>19</v>
      </c>
      <c r="I16" s="5" t="s">
        <v>19</v>
      </c>
      <c r="J16" s="5" t="s">
        <v>19</v>
      </c>
      <c r="K16" s="1"/>
      <c r="L16" s="1" t="s">
        <v>21</v>
      </c>
      <c r="M16" s="1" t="s">
        <v>22</v>
      </c>
    </row>
    <row r="17" spans="1:13" ht="30.75">
      <c r="A17" s="1" t="s">
        <v>68</v>
      </c>
      <c r="B17" s="1">
        <v>196201</v>
      </c>
      <c r="C17" s="1" t="s">
        <v>76</v>
      </c>
      <c r="D17" s="1" t="s">
        <v>16</v>
      </c>
      <c r="E17" s="1" t="s">
        <v>73</v>
      </c>
      <c r="F17" s="6">
        <v>476625</v>
      </c>
      <c r="G17" s="3" t="s">
        <v>74</v>
      </c>
      <c r="H17" s="1" t="s">
        <v>19</v>
      </c>
      <c r="I17" s="5" t="s">
        <v>19</v>
      </c>
      <c r="J17" s="5" t="s">
        <v>19</v>
      </c>
      <c r="K17" s="1"/>
      <c r="L17" s="1" t="s">
        <v>21</v>
      </c>
      <c r="M17" s="1" t="s">
        <v>22</v>
      </c>
    </row>
    <row r="18" spans="1:13" ht="30.75">
      <c r="A18" s="1" t="s">
        <v>68</v>
      </c>
      <c r="B18" s="1">
        <v>196200</v>
      </c>
      <c r="C18" s="1" t="s">
        <v>77</v>
      </c>
      <c r="D18" s="1" t="s">
        <v>16</v>
      </c>
      <c r="E18" s="1" t="s">
        <v>73</v>
      </c>
      <c r="F18" s="6">
        <v>521550</v>
      </c>
      <c r="G18" s="3" t="s">
        <v>74</v>
      </c>
      <c r="H18" s="1" t="s">
        <v>19</v>
      </c>
      <c r="I18" s="5" t="s">
        <v>19</v>
      </c>
      <c r="J18" s="5" t="s">
        <v>19</v>
      </c>
      <c r="K18" s="1"/>
      <c r="L18" s="1" t="s">
        <v>21</v>
      </c>
      <c r="M18" s="1" t="s">
        <v>22</v>
      </c>
    </row>
    <row r="19" spans="1:13" ht="30.75">
      <c r="A19" s="1" t="s">
        <v>68</v>
      </c>
      <c r="B19" s="1">
        <v>196199</v>
      </c>
      <c r="C19" s="1" t="s">
        <v>78</v>
      </c>
      <c r="D19" s="1" t="s">
        <v>16</v>
      </c>
      <c r="E19" s="1" t="s">
        <v>73</v>
      </c>
      <c r="F19" s="6">
        <v>251000</v>
      </c>
      <c r="G19" s="3" t="s">
        <v>74</v>
      </c>
      <c r="H19" s="1" t="s">
        <v>19</v>
      </c>
      <c r="I19" s="5" t="s">
        <v>19</v>
      </c>
      <c r="J19" s="5" t="s">
        <v>19</v>
      </c>
      <c r="K19" s="1"/>
      <c r="L19" s="1" t="s">
        <v>21</v>
      </c>
      <c r="M19" s="1" t="s">
        <v>22</v>
      </c>
    </row>
    <row r="20" spans="1:13" ht="30.75">
      <c r="A20" s="1" t="s">
        <v>68</v>
      </c>
      <c r="B20" s="1">
        <v>196198</v>
      </c>
      <c r="C20" s="1" t="s">
        <v>79</v>
      </c>
      <c r="D20" s="1" t="s">
        <v>16</v>
      </c>
      <c r="E20" s="1" t="s">
        <v>73</v>
      </c>
      <c r="F20" s="6">
        <v>167930</v>
      </c>
      <c r="G20" s="3" t="s">
        <v>74</v>
      </c>
      <c r="H20" s="1" t="s">
        <v>19</v>
      </c>
      <c r="I20" s="5" t="s">
        <v>19</v>
      </c>
      <c r="J20" s="5" t="s">
        <v>19</v>
      </c>
      <c r="K20" s="1"/>
      <c r="L20" s="1" t="s">
        <v>21</v>
      </c>
      <c r="M20" s="1" t="s">
        <v>22</v>
      </c>
    </row>
    <row r="21" spans="1:13" ht="30.75">
      <c r="A21" s="1" t="s">
        <v>68</v>
      </c>
      <c r="B21" s="1">
        <v>196197</v>
      </c>
      <c r="C21" s="1" t="s">
        <v>80</v>
      </c>
      <c r="D21" s="1" t="s">
        <v>16</v>
      </c>
      <c r="E21" s="1" t="s">
        <v>73</v>
      </c>
      <c r="F21" s="6">
        <v>400972</v>
      </c>
      <c r="G21" s="3" t="s">
        <v>74</v>
      </c>
      <c r="H21" s="1" t="s">
        <v>19</v>
      </c>
      <c r="I21" s="5" t="s">
        <v>19</v>
      </c>
      <c r="J21" s="5" t="s">
        <v>19</v>
      </c>
      <c r="K21" s="1"/>
      <c r="L21" s="1" t="s">
        <v>21</v>
      </c>
      <c r="M21" s="1" t="s">
        <v>22</v>
      </c>
    </row>
    <row r="22" spans="1:13" ht="30.75">
      <c r="A22" s="1" t="s">
        <v>68</v>
      </c>
      <c r="B22" s="1">
        <v>196196</v>
      </c>
      <c r="C22" s="1" t="s">
        <v>81</v>
      </c>
      <c r="D22" s="1" t="s">
        <v>16</v>
      </c>
      <c r="E22" s="1" t="s">
        <v>73</v>
      </c>
      <c r="F22" s="6">
        <v>614652</v>
      </c>
      <c r="G22" s="3" t="s">
        <v>74</v>
      </c>
      <c r="H22" s="1" t="s">
        <v>19</v>
      </c>
      <c r="I22" s="5" t="s">
        <v>19</v>
      </c>
      <c r="J22" s="5" t="s">
        <v>19</v>
      </c>
      <c r="K22" s="1"/>
      <c r="L22" s="1" t="s">
        <v>21</v>
      </c>
      <c r="M22" s="1" t="s">
        <v>22</v>
      </c>
    </row>
    <row r="23" spans="1:13" ht="30.75">
      <c r="A23" s="1" t="s">
        <v>68</v>
      </c>
      <c r="B23" s="1">
        <v>196195</v>
      </c>
      <c r="C23" s="1" t="s">
        <v>82</v>
      </c>
      <c r="D23" s="1" t="s">
        <v>16</v>
      </c>
      <c r="E23" s="1" t="s">
        <v>73</v>
      </c>
      <c r="F23" s="6">
        <v>788664</v>
      </c>
      <c r="G23" s="3" t="s">
        <v>74</v>
      </c>
      <c r="H23" s="1" t="s">
        <v>19</v>
      </c>
      <c r="I23" s="5" t="s">
        <v>19</v>
      </c>
      <c r="J23" s="5" t="s">
        <v>19</v>
      </c>
      <c r="K23" s="1"/>
      <c r="L23" s="1" t="s">
        <v>21</v>
      </c>
      <c r="M23" s="1" t="s">
        <v>22</v>
      </c>
    </row>
    <row r="24" spans="1:13" ht="30.75">
      <c r="A24" s="1" t="s">
        <v>68</v>
      </c>
      <c r="B24" s="1">
        <v>196194</v>
      </c>
      <c r="C24" s="1" t="s">
        <v>83</v>
      </c>
      <c r="D24" s="1" t="s">
        <v>16</v>
      </c>
      <c r="E24" s="1" t="s">
        <v>73</v>
      </c>
      <c r="F24" s="6">
        <v>598000</v>
      </c>
      <c r="G24" s="3" t="s">
        <v>74</v>
      </c>
      <c r="H24" s="1" t="s">
        <v>19</v>
      </c>
      <c r="I24" s="5" t="s">
        <v>19</v>
      </c>
      <c r="J24" s="5" t="s">
        <v>19</v>
      </c>
      <c r="K24" s="1"/>
      <c r="L24" s="1" t="s">
        <v>21</v>
      </c>
      <c r="M24" s="1" t="s">
        <v>22</v>
      </c>
    </row>
    <row r="25" spans="1:13" ht="30.75">
      <c r="A25" s="1" t="s">
        <v>68</v>
      </c>
      <c r="B25" s="1">
        <v>196193</v>
      </c>
      <c r="C25" s="1" t="s">
        <v>84</v>
      </c>
      <c r="D25" s="1" t="s">
        <v>16</v>
      </c>
      <c r="E25" s="1" t="s">
        <v>73</v>
      </c>
      <c r="F25" s="6">
        <v>581408</v>
      </c>
      <c r="G25" s="3" t="s">
        <v>74</v>
      </c>
      <c r="H25" s="1" t="s">
        <v>19</v>
      </c>
      <c r="I25" s="5" t="s">
        <v>19</v>
      </c>
      <c r="J25" s="5" t="s">
        <v>19</v>
      </c>
      <c r="K25" s="1"/>
      <c r="L25" s="1" t="s">
        <v>21</v>
      </c>
      <c r="M25" s="1" t="s">
        <v>22</v>
      </c>
    </row>
    <row r="26" spans="1:13" ht="30.75">
      <c r="A26" s="1" t="s">
        <v>68</v>
      </c>
      <c r="B26" s="1">
        <v>196192</v>
      </c>
      <c r="C26" s="1" t="s">
        <v>85</v>
      </c>
      <c r="D26" s="1" t="s">
        <v>16</v>
      </c>
      <c r="E26" s="1" t="s">
        <v>73</v>
      </c>
      <c r="F26" s="6">
        <v>542502</v>
      </c>
      <c r="G26" s="3" t="s">
        <v>74</v>
      </c>
      <c r="H26" s="1" t="s">
        <v>19</v>
      </c>
      <c r="I26" s="5" t="s">
        <v>19</v>
      </c>
      <c r="J26" s="5" t="s">
        <v>19</v>
      </c>
      <c r="K26" s="1"/>
      <c r="L26" s="1" t="s">
        <v>21</v>
      </c>
      <c r="M26" s="1" t="s">
        <v>22</v>
      </c>
    </row>
    <row r="27" spans="1:13">
      <c r="A27" s="1" t="s">
        <v>68</v>
      </c>
      <c r="B27" s="1">
        <v>208184</v>
      </c>
      <c r="C27" s="1" t="s">
        <v>86</v>
      </c>
      <c r="D27" s="1" t="s">
        <v>41</v>
      </c>
      <c r="E27" s="1" t="s">
        <v>87</v>
      </c>
      <c r="F27" s="6">
        <v>40608</v>
      </c>
      <c r="G27" s="3"/>
      <c r="H27" s="1" t="s">
        <v>19</v>
      </c>
      <c r="I27" s="5" t="s">
        <v>19</v>
      </c>
      <c r="J27" s="1" t="s">
        <v>19</v>
      </c>
      <c r="K27" s="1"/>
      <c r="L27" s="1" t="s">
        <v>21</v>
      </c>
      <c r="M27" s="1" t="s">
        <v>22</v>
      </c>
    </row>
    <row r="28" spans="1:13" ht="30.75">
      <c r="A28" s="1" t="s">
        <v>68</v>
      </c>
      <c r="B28" s="1">
        <v>195593</v>
      </c>
      <c r="C28" s="1" t="s">
        <v>88</v>
      </c>
      <c r="D28" s="1" t="s">
        <v>41</v>
      </c>
      <c r="E28" s="1" t="s">
        <v>89</v>
      </c>
      <c r="F28" s="6">
        <v>1980000</v>
      </c>
      <c r="G28" s="3" t="s">
        <v>43</v>
      </c>
      <c r="H28" s="1" t="s">
        <v>19</v>
      </c>
      <c r="I28" s="5" t="s">
        <v>19</v>
      </c>
      <c r="J28" s="1" t="s">
        <v>19</v>
      </c>
      <c r="K28" s="1"/>
      <c r="L28" s="1" t="s">
        <v>21</v>
      </c>
      <c r="M28" s="1" t="s">
        <v>22</v>
      </c>
    </row>
    <row r="29" spans="1:13">
      <c r="A29" s="1" t="s">
        <v>68</v>
      </c>
      <c r="B29" s="1">
        <v>208185</v>
      </c>
      <c r="C29" s="1" t="s">
        <v>86</v>
      </c>
      <c r="D29" s="1" t="s">
        <v>41</v>
      </c>
      <c r="E29" s="1" t="s">
        <v>87</v>
      </c>
      <c r="F29" s="6">
        <v>40608</v>
      </c>
      <c r="G29" s="3"/>
      <c r="H29" s="1" t="s">
        <v>19</v>
      </c>
      <c r="I29" s="5" t="s">
        <v>19</v>
      </c>
      <c r="J29" s="1" t="s">
        <v>19</v>
      </c>
      <c r="K29" s="1"/>
      <c r="L29" s="1" t="s">
        <v>21</v>
      </c>
      <c r="M29" s="1" t="s">
        <v>22</v>
      </c>
    </row>
    <row r="30" spans="1:13" ht="30.75">
      <c r="A30" s="1" t="s">
        <v>68</v>
      </c>
      <c r="B30" s="1">
        <v>195590</v>
      </c>
      <c r="C30" s="1" t="s">
        <v>90</v>
      </c>
      <c r="D30" s="1" t="s">
        <v>41</v>
      </c>
      <c r="E30" s="1" t="s">
        <v>89</v>
      </c>
      <c r="F30" s="6">
        <v>960000</v>
      </c>
      <c r="G30" s="3" t="s">
        <v>43</v>
      </c>
      <c r="H30" s="1" t="s">
        <v>19</v>
      </c>
      <c r="I30" s="1" t="s">
        <v>19</v>
      </c>
      <c r="J30" s="1" t="s">
        <v>19</v>
      </c>
      <c r="K30" s="1"/>
      <c r="L30" s="1" t="s">
        <v>21</v>
      </c>
      <c r="M30" s="1" t="s">
        <v>22</v>
      </c>
    </row>
    <row r="31" spans="1:13">
      <c r="A31" s="1" t="s">
        <v>68</v>
      </c>
      <c r="B31" s="1">
        <v>208182</v>
      </c>
      <c r="C31" s="1" t="s">
        <v>91</v>
      </c>
      <c r="D31" s="1" t="s">
        <v>41</v>
      </c>
      <c r="E31" s="1" t="s">
        <v>87</v>
      </c>
      <c r="F31" s="6">
        <v>98163</v>
      </c>
      <c r="G31" s="3"/>
      <c r="H31" s="1" t="s">
        <v>19</v>
      </c>
      <c r="I31" s="5" t="s">
        <v>19</v>
      </c>
      <c r="J31" s="1" t="s">
        <v>19</v>
      </c>
      <c r="K31" s="1"/>
      <c r="L31" s="1" t="s">
        <v>21</v>
      </c>
      <c r="M31" s="1" t="s">
        <v>22</v>
      </c>
    </row>
    <row r="32" spans="1:13">
      <c r="A32" s="1" t="s">
        <v>68</v>
      </c>
      <c r="B32" s="1">
        <v>208175</v>
      </c>
      <c r="C32" s="1" t="s">
        <v>80</v>
      </c>
      <c r="D32" s="1" t="s">
        <v>41</v>
      </c>
      <c r="E32" s="1" t="s">
        <v>87</v>
      </c>
      <c r="F32" s="6">
        <v>100243</v>
      </c>
      <c r="G32" s="3"/>
      <c r="H32" s="1" t="s">
        <v>19</v>
      </c>
      <c r="I32" s="5" t="s">
        <v>19</v>
      </c>
      <c r="J32" s="1" t="s">
        <v>19</v>
      </c>
      <c r="K32" s="1"/>
      <c r="L32" s="1" t="s">
        <v>21</v>
      </c>
      <c r="M32" s="1" t="s">
        <v>22</v>
      </c>
    </row>
    <row r="33" spans="1:13">
      <c r="A33" s="1" t="s">
        <v>68</v>
      </c>
      <c r="B33" s="1">
        <v>208176</v>
      </c>
      <c r="C33" s="1" t="s">
        <v>80</v>
      </c>
      <c r="D33" s="1" t="s">
        <v>41</v>
      </c>
      <c r="E33" s="1" t="s">
        <v>87</v>
      </c>
      <c r="F33" s="6">
        <v>100243</v>
      </c>
      <c r="G33" s="3"/>
      <c r="H33" s="1" t="s">
        <v>19</v>
      </c>
      <c r="I33" s="5" t="s">
        <v>19</v>
      </c>
      <c r="J33" s="1" t="s">
        <v>19</v>
      </c>
      <c r="K33" s="1"/>
      <c r="L33" s="1" t="s">
        <v>21</v>
      </c>
      <c r="M33" s="1" t="s">
        <v>22</v>
      </c>
    </row>
    <row r="34" spans="1:13">
      <c r="A34" s="1" t="s">
        <v>68</v>
      </c>
      <c r="B34" s="1">
        <v>208173</v>
      </c>
      <c r="C34" s="1" t="s">
        <v>92</v>
      </c>
      <c r="D34" s="1" t="s">
        <v>41</v>
      </c>
      <c r="E34" s="1" t="s">
        <v>87</v>
      </c>
      <c r="F34" s="6">
        <v>223887</v>
      </c>
      <c r="G34" s="3"/>
      <c r="H34" s="1" t="s">
        <v>19</v>
      </c>
      <c r="I34" s="5" t="s">
        <v>19</v>
      </c>
      <c r="J34" s="1" t="s">
        <v>19</v>
      </c>
      <c r="K34" s="1"/>
      <c r="L34" s="1" t="s">
        <v>21</v>
      </c>
      <c r="M34" s="1" t="s">
        <v>22</v>
      </c>
    </row>
    <row r="35" spans="1:13" ht="45.75">
      <c r="A35" s="1" t="s">
        <v>68</v>
      </c>
      <c r="B35" s="1">
        <v>195609</v>
      </c>
      <c r="C35" s="1" t="s">
        <v>93</v>
      </c>
      <c r="D35" s="1" t="s">
        <v>41</v>
      </c>
      <c r="E35" s="1" t="s">
        <v>94</v>
      </c>
      <c r="F35" s="6">
        <v>240000</v>
      </c>
      <c r="G35" s="3" t="s">
        <v>43</v>
      </c>
      <c r="H35" s="1" t="s">
        <v>19</v>
      </c>
      <c r="I35" s="5" t="s">
        <v>19</v>
      </c>
      <c r="J35" s="1" t="s">
        <v>19</v>
      </c>
      <c r="K35" s="1"/>
      <c r="L35" s="1" t="s">
        <v>21</v>
      </c>
      <c r="M35" s="1" t="s">
        <v>22</v>
      </c>
    </row>
    <row r="36" spans="1:13" ht="30.75">
      <c r="A36" s="1" t="s">
        <v>68</v>
      </c>
      <c r="B36" s="1">
        <v>210210</v>
      </c>
      <c r="C36" s="1" t="s">
        <v>95</v>
      </c>
      <c r="D36" s="1" t="s">
        <v>96</v>
      </c>
      <c r="E36" s="1" t="s">
        <v>97</v>
      </c>
      <c r="F36" s="6">
        <v>180000</v>
      </c>
      <c r="G36" s="3" t="s">
        <v>43</v>
      </c>
      <c r="H36" s="1" t="s">
        <v>19</v>
      </c>
      <c r="I36" s="1" t="s">
        <v>19</v>
      </c>
      <c r="J36" s="1" t="s">
        <v>19</v>
      </c>
      <c r="K36" s="1"/>
      <c r="L36" s="1" t="s">
        <v>21</v>
      </c>
      <c r="M36" s="1" t="s">
        <v>22</v>
      </c>
    </row>
    <row r="37" spans="1:13" ht="30.75">
      <c r="A37" s="1" t="s">
        <v>68</v>
      </c>
      <c r="B37" s="1">
        <v>210211</v>
      </c>
      <c r="C37" s="1" t="s">
        <v>98</v>
      </c>
      <c r="D37" s="1" t="s">
        <v>96</v>
      </c>
      <c r="E37" s="1" t="s">
        <v>97</v>
      </c>
      <c r="F37" s="6">
        <v>180000</v>
      </c>
      <c r="G37" s="3" t="s">
        <v>43</v>
      </c>
      <c r="H37" s="1" t="s">
        <v>19</v>
      </c>
      <c r="I37" s="1" t="s">
        <v>19</v>
      </c>
      <c r="J37" s="1" t="s">
        <v>19</v>
      </c>
      <c r="K37" s="1"/>
      <c r="L37" s="1" t="s">
        <v>21</v>
      </c>
      <c r="M37" s="1" t="s">
        <v>22</v>
      </c>
    </row>
    <row r="38" spans="1:13">
      <c r="A38" s="1" t="s">
        <v>68</v>
      </c>
      <c r="B38" s="1">
        <v>208170</v>
      </c>
      <c r="C38" s="1" t="s">
        <v>83</v>
      </c>
      <c r="D38" s="1" t="s">
        <v>41</v>
      </c>
      <c r="E38" s="1" t="s">
        <v>87</v>
      </c>
      <c r="F38" s="6">
        <v>299000</v>
      </c>
      <c r="G38" s="3"/>
      <c r="H38" s="1" t="s">
        <v>19</v>
      </c>
      <c r="I38" s="5" t="s">
        <v>19</v>
      </c>
      <c r="J38" s="1" t="s">
        <v>19</v>
      </c>
      <c r="K38" s="1"/>
      <c r="L38" s="1" t="s">
        <v>21</v>
      </c>
      <c r="M38" s="1" t="s">
        <v>22</v>
      </c>
    </row>
    <row r="39" spans="1:13">
      <c r="A39" s="1" t="s">
        <v>68</v>
      </c>
      <c r="B39" s="1">
        <v>208180</v>
      </c>
      <c r="C39" s="1" t="s">
        <v>99</v>
      </c>
      <c r="D39" s="1" t="s">
        <v>41</v>
      </c>
      <c r="E39" s="1" t="s">
        <v>100</v>
      </c>
      <c r="F39" s="6">
        <v>303690</v>
      </c>
      <c r="G39" s="3"/>
      <c r="H39" s="1" t="s">
        <v>19</v>
      </c>
      <c r="I39" s="5" t="s">
        <v>19</v>
      </c>
      <c r="J39" s="1" t="s">
        <v>19</v>
      </c>
      <c r="K39" s="1"/>
      <c r="L39" s="1" t="s">
        <v>21</v>
      </c>
      <c r="M39" s="1" t="s">
        <v>22</v>
      </c>
    </row>
    <row r="40" spans="1:13">
      <c r="A40" s="1" t="s">
        <v>68</v>
      </c>
      <c r="B40" s="1">
        <v>208171</v>
      </c>
      <c r="C40" s="1" t="s">
        <v>75</v>
      </c>
      <c r="D40" s="1" t="s">
        <v>41</v>
      </c>
      <c r="E40" s="1" t="s">
        <v>87</v>
      </c>
      <c r="F40" s="6">
        <v>389188</v>
      </c>
      <c r="G40" s="3"/>
      <c r="H40" s="1" t="s">
        <v>19</v>
      </c>
      <c r="I40" s="5" t="s">
        <v>19</v>
      </c>
      <c r="J40" s="1" t="s">
        <v>19</v>
      </c>
      <c r="K40" s="1"/>
      <c r="L40" s="1" t="s">
        <v>21</v>
      </c>
      <c r="M40" s="1" t="s">
        <v>22</v>
      </c>
    </row>
    <row r="41" spans="1:13">
      <c r="A41" s="1" t="s">
        <v>68</v>
      </c>
      <c r="B41" s="1">
        <v>208172</v>
      </c>
      <c r="C41" s="1" t="s">
        <v>75</v>
      </c>
      <c r="D41" s="1" t="s">
        <v>41</v>
      </c>
      <c r="E41" s="1" t="s">
        <v>87</v>
      </c>
      <c r="F41" s="6">
        <v>389188</v>
      </c>
      <c r="G41" s="3"/>
      <c r="H41" s="1" t="s">
        <v>19</v>
      </c>
      <c r="I41" s="5" t="s">
        <v>19</v>
      </c>
      <c r="J41" s="1" t="s">
        <v>19</v>
      </c>
      <c r="K41" s="1"/>
      <c r="L41" s="1" t="s">
        <v>21</v>
      </c>
      <c r="M41" s="1" t="s">
        <v>22</v>
      </c>
    </row>
    <row r="42" spans="1:13">
      <c r="A42" s="1" t="s">
        <v>68</v>
      </c>
      <c r="B42" s="1">
        <v>208174</v>
      </c>
      <c r="C42" s="1" t="s">
        <v>82</v>
      </c>
      <c r="D42" s="1" t="s">
        <v>41</v>
      </c>
      <c r="E42" s="1" t="s">
        <v>87</v>
      </c>
      <c r="F42" s="6">
        <v>394332</v>
      </c>
      <c r="G42" s="3"/>
      <c r="H42" s="1" t="s">
        <v>19</v>
      </c>
      <c r="I42" s="5" t="s">
        <v>19</v>
      </c>
      <c r="J42" s="1" t="s">
        <v>19</v>
      </c>
      <c r="K42" s="1"/>
      <c r="L42" s="1" t="s">
        <v>21</v>
      </c>
      <c r="M42" s="1" t="s">
        <v>22</v>
      </c>
    </row>
    <row r="43" spans="1:13" ht="30.75">
      <c r="A43" s="1" t="s">
        <v>68</v>
      </c>
      <c r="B43" s="1">
        <v>195588</v>
      </c>
      <c r="C43" s="1" t="s">
        <v>101</v>
      </c>
      <c r="D43" s="1" t="s">
        <v>41</v>
      </c>
      <c r="E43" s="1" t="s">
        <v>89</v>
      </c>
      <c r="F43" s="6">
        <v>409000</v>
      </c>
      <c r="G43" s="3" t="s">
        <v>43</v>
      </c>
      <c r="H43" s="1" t="s">
        <v>19</v>
      </c>
      <c r="I43" s="5" t="s">
        <v>19</v>
      </c>
      <c r="J43" s="1" t="s">
        <v>19</v>
      </c>
      <c r="K43" s="1"/>
      <c r="L43" s="1" t="s">
        <v>21</v>
      </c>
      <c r="M43" s="1" t="s">
        <v>22</v>
      </c>
    </row>
    <row r="44" spans="1:13" ht="45.75">
      <c r="A44" s="1" t="s">
        <v>68</v>
      </c>
      <c r="B44" s="1">
        <v>195596</v>
      </c>
      <c r="C44" s="1" t="s">
        <v>102</v>
      </c>
      <c r="D44" s="1" t="s">
        <v>41</v>
      </c>
      <c r="E44" s="1" t="s">
        <v>103</v>
      </c>
      <c r="F44" s="6">
        <v>450000</v>
      </c>
      <c r="G44" s="3" t="s">
        <v>43</v>
      </c>
      <c r="H44" s="1" t="s">
        <v>19</v>
      </c>
      <c r="I44" s="5" t="s">
        <v>19</v>
      </c>
      <c r="J44" s="1" t="s">
        <v>19</v>
      </c>
      <c r="K44" s="1"/>
      <c r="L44" s="1" t="s">
        <v>21</v>
      </c>
      <c r="M44" s="1" t="s">
        <v>22</v>
      </c>
    </row>
    <row r="45" spans="1:13" ht="30.75">
      <c r="A45" s="1" t="s">
        <v>68</v>
      </c>
      <c r="B45" s="1">
        <v>195619</v>
      </c>
      <c r="C45" s="1" t="s">
        <v>104</v>
      </c>
      <c r="D45" s="1" t="s">
        <v>41</v>
      </c>
      <c r="E45" s="1" t="s">
        <v>89</v>
      </c>
      <c r="F45" s="6">
        <v>545200</v>
      </c>
      <c r="G45" s="3" t="s">
        <v>43</v>
      </c>
      <c r="H45" s="1" t="s">
        <v>19</v>
      </c>
      <c r="I45" s="1" t="s">
        <v>19</v>
      </c>
      <c r="J45" s="5" t="s">
        <v>19</v>
      </c>
      <c r="K45" s="1"/>
      <c r="L45" s="1" t="s">
        <v>21</v>
      </c>
      <c r="M45" s="1" t="s">
        <v>22</v>
      </c>
    </row>
    <row r="46" spans="1:13">
      <c r="A46" s="1" t="s">
        <v>68</v>
      </c>
      <c r="B46" s="1">
        <v>208183</v>
      </c>
      <c r="C46" s="1" t="s">
        <v>105</v>
      </c>
      <c r="D46" s="1" t="s">
        <v>41</v>
      </c>
      <c r="E46" s="1" t="s">
        <v>87</v>
      </c>
      <c r="F46" s="6">
        <v>700034</v>
      </c>
      <c r="G46" s="3"/>
      <c r="H46" s="1" t="s">
        <v>19</v>
      </c>
      <c r="I46" s="5" t="s">
        <v>19</v>
      </c>
      <c r="J46" s="1" t="s">
        <v>19</v>
      </c>
      <c r="K46" s="1"/>
      <c r="L46" s="1" t="s">
        <v>21</v>
      </c>
      <c r="M46" s="1" t="s">
        <v>22</v>
      </c>
    </row>
    <row r="47" spans="1:13">
      <c r="A47" s="1" t="s">
        <v>68</v>
      </c>
      <c r="B47" s="1">
        <v>208181</v>
      </c>
      <c r="C47" s="1" t="s">
        <v>106</v>
      </c>
      <c r="D47" s="1" t="s">
        <v>41</v>
      </c>
      <c r="E47" s="1" t="s">
        <v>87</v>
      </c>
      <c r="F47" s="6">
        <v>767750</v>
      </c>
      <c r="G47" s="3"/>
      <c r="H47" s="1" t="s">
        <v>19</v>
      </c>
      <c r="I47" s="5" t="s">
        <v>19</v>
      </c>
      <c r="J47" s="1" t="s">
        <v>19</v>
      </c>
      <c r="K47" s="1"/>
      <c r="L47" s="1" t="s">
        <v>21</v>
      </c>
      <c r="M47" s="1" t="s">
        <v>22</v>
      </c>
    </row>
    <row r="48" spans="1:13" ht="30.75">
      <c r="A48" s="1" t="s">
        <v>68</v>
      </c>
      <c r="B48" s="1">
        <v>195620</v>
      </c>
      <c r="C48" s="1" t="s">
        <v>107</v>
      </c>
      <c r="D48" s="1" t="s">
        <v>41</v>
      </c>
      <c r="E48" s="1" t="s">
        <v>89</v>
      </c>
      <c r="F48" s="6">
        <v>771446</v>
      </c>
      <c r="G48" s="3" t="s">
        <v>43</v>
      </c>
      <c r="H48" s="1" t="s">
        <v>19</v>
      </c>
      <c r="I48" s="1" t="s">
        <v>19</v>
      </c>
      <c r="J48" s="5" t="s">
        <v>19</v>
      </c>
      <c r="K48" s="1"/>
      <c r="L48" s="1" t="s">
        <v>21</v>
      </c>
      <c r="M48" s="1" t="s">
        <v>22</v>
      </c>
    </row>
    <row r="49" spans="1:13" ht="30.75">
      <c r="A49" s="1" t="s">
        <v>68</v>
      </c>
      <c r="B49" s="1">
        <v>195594</v>
      </c>
      <c r="C49" s="1" t="s">
        <v>108</v>
      </c>
      <c r="D49" s="1" t="s">
        <v>41</v>
      </c>
      <c r="E49" s="1" t="s">
        <v>89</v>
      </c>
      <c r="F49" s="6">
        <v>3780000</v>
      </c>
      <c r="G49" s="3" t="s">
        <v>43</v>
      </c>
      <c r="H49" s="1" t="s">
        <v>19</v>
      </c>
      <c r="I49" s="5" t="s">
        <v>19</v>
      </c>
      <c r="J49" s="1" t="s">
        <v>19</v>
      </c>
      <c r="K49" s="1"/>
      <c r="L49" s="1" t="s">
        <v>21</v>
      </c>
      <c r="M49" s="1" t="s">
        <v>22</v>
      </c>
    </row>
    <row r="50" spans="1:13" ht="30.75">
      <c r="A50" s="1" t="s">
        <v>68</v>
      </c>
      <c r="B50" s="1">
        <v>210209</v>
      </c>
      <c r="C50" s="1" t="s">
        <v>108</v>
      </c>
      <c r="D50" s="1" t="s">
        <v>109</v>
      </c>
      <c r="E50" s="1" t="s">
        <v>110</v>
      </c>
      <c r="F50" s="6">
        <v>180000</v>
      </c>
      <c r="G50" s="3"/>
      <c r="H50" s="1" t="s">
        <v>19</v>
      </c>
      <c r="I50" s="1" t="s">
        <v>111</v>
      </c>
      <c r="J50" s="1" t="s">
        <v>19</v>
      </c>
      <c r="K50" s="1"/>
      <c r="L50" s="1" t="s">
        <v>21</v>
      </c>
      <c r="M50" s="1" t="s">
        <v>22</v>
      </c>
    </row>
    <row r="51" spans="1:13">
      <c r="A51" s="1" t="s">
        <v>68</v>
      </c>
      <c r="B51" s="1" t="s">
        <v>14</v>
      </c>
      <c r="C51" s="1" t="s">
        <v>112</v>
      </c>
      <c r="D51" s="1" t="s">
        <v>16</v>
      </c>
      <c r="E51" s="1" t="s">
        <v>113</v>
      </c>
      <c r="F51" s="6">
        <v>2000000</v>
      </c>
      <c r="G51" s="3"/>
      <c r="H51" s="1" t="s">
        <v>58</v>
      </c>
      <c r="I51" s="5" t="s">
        <v>14</v>
      </c>
      <c r="J51" s="1" t="s">
        <v>14</v>
      </c>
      <c r="K51" s="1"/>
      <c r="L51" s="1" t="s">
        <v>21</v>
      </c>
      <c r="M51" s="1" t="s">
        <v>22</v>
      </c>
    </row>
    <row r="52" spans="1:13" ht="30.75">
      <c r="A52" s="1" t="s">
        <v>68</v>
      </c>
      <c r="B52" s="1">
        <v>213071</v>
      </c>
      <c r="C52" s="1" t="s">
        <v>114</v>
      </c>
      <c r="D52" s="1" t="s">
        <v>115</v>
      </c>
      <c r="E52" s="1" t="s">
        <v>116</v>
      </c>
      <c r="F52" s="6">
        <v>82520</v>
      </c>
      <c r="G52" s="3"/>
      <c r="H52" s="1" t="s">
        <v>19</v>
      </c>
      <c r="I52" s="5" t="s">
        <v>19</v>
      </c>
      <c r="J52" s="1" t="s">
        <v>19</v>
      </c>
      <c r="K52" s="1"/>
      <c r="L52" s="1" t="s">
        <v>21</v>
      </c>
      <c r="M52" s="1" t="s">
        <v>22</v>
      </c>
    </row>
    <row r="53" spans="1:13" ht="30.75">
      <c r="A53" s="1" t="s">
        <v>68</v>
      </c>
      <c r="B53" s="5">
        <v>213101</v>
      </c>
      <c r="C53" s="1" t="s">
        <v>117</v>
      </c>
      <c r="D53" s="5" t="s">
        <v>115</v>
      </c>
      <c r="E53" s="5" t="s">
        <v>116</v>
      </c>
      <c r="F53" s="7">
        <v>180000</v>
      </c>
      <c r="G53" s="9"/>
      <c r="H53" s="1" t="s">
        <v>19</v>
      </c>
      <c r="I53" s="5" t="s">
        <v>19</v>
      </c>
      <c r="J53" s="5" t="s">
        <v>19</v>
      </c>
      <c r="K53" s="1"/>
      <c r="L53" s="1" t="s">
        <v>21</v>
      </c>
      <c r="M53" s="1" t="s">
        <v>22</v>
      </c>
    </row>
    <row r="54" spans="1:13" ht="30.75">
      <c r="A54" s="1" t="s">
        <v>68</v>
      </c>
      <c r="B54" s="1">
        <v>213125</v>
      </c>
      <c r="C54" s="1" t="s">
        <v>118</v>
      </c>
      <c r="D54" s="1" t="s">
        <v>115</v>
      </c>
      <c r="E54" s="1" t="s">
        <v>116</v>
      </c>
      <c r="F54" s="6">
        <v>379890</v>
      </c>
      <c r="G54" s="3"/>
      <c r="H54" s="1" t="s">
        <v>19</v>
      </c>
      <c r="I54" s="5" t="s">
        <v>19</v>
      </c>
      <c r="J54" s="1" t="s">
        <v>19</v>
      </c>
      <c r="K54" s="1"/>
      <c r="L54" s="1" t="s">
        <v>21</v>
      </c>
      <c r="M54" s="1" t="s">
        <v>22</v>
      </c>
    </row>
    <row r="55" spans="1:13" ht="30.75">
      <c r="A55" s="1" t="s">
        <v>68</v>
      </c>
      <c r="B55" s="5">
        <v>213124</v>
      </c>
      <c r="C55" s="1" t="s">
        <v>88</v>
      </c>
      <c r="D55" s="5" t="s">
        <v>115</v>
      </c>
      <c r="E55" s="5" t="s">
        <v>116</v>
      </c>
      <c r="F55" s="6">
        <v>180000</v>
      </c>
      <c r="G55" s="3"/>
      <c r="H55" s="1" t="s">
        <v>19</v>
      </c>
      <c r="I55" s="5" t="s">
        <v>19</v>
      </c>
      <c r="J55" s="1" t="s">
        <v>19</v>
      </c>
      <c r="K55" s="1"/>
      <c r="L55" s="1" t="s">
        <v>21</v>
      </c>
      <c r="M55" s="1" t="s">
        <v>22</v>
      </c>
    </row>
    <row r="56" spans="1:13" ht="30.75">
      <c r="A56" s="1" t="s">
        <v>68</v>
      </c>
      <c r="B56" s="1">
        <v>213123</v>
      </c>
      <c r="C56" s="1" t="s">
        <v>108</v>
      </c>
      <c r="D56" s="1" t="s">
        <v>115</v>
      </c>
      <c r="E56" s="1" t="s">
        <v>116</v>
      </c>
      <c r="F56" s="6">
        <v>540000</v>
      </c>
      <c r="G56" s="3"/>
      <c r="H56" s="1" t="s">
        <v>19</v>
      </c>
      <c r="I56" s="5" t="s">
        <v>19</v>
      </c>
      <c r="J56" s="1" t="s">
        <v>19</v>
      </c>
      <c r="K56" s="1"/>
      <c r="L56" s="1" t="s">
        <v>21</v>
      </c>
      <c r="M56" s="1" t="s">
        <v>22</v>
      </c>
    </row>
    <row r="57" spans="1:13" ht="30.75">
      <c r="A57" s="1" t="s">
        <v>68</v>
      </c>
      <c r="B57" s="1">
        <v>213144</v>
      </c>
      <c r="C57" s="1" t="s">
        <v>107</v>
      </c>
      <c r="D57" s="1" t="s">
        <v>115</v>
      </c>
      <c r="E57" s="1" t="s">
        <v>116</v>
      </c>
      <c r="F57" s="6">
        <v>385723</v>
      </c>
      <c r="G57" s="3"/>
      <c r="H57" s="1" t="s">
        <v>19</v>
      </c>
      <c r="I57" s="5" t="s">
        <v>19</v>
      </c>
      <c r="J57" s="1" t="s">
        <v>19</v>
      </c>
      <c r="K57" s="1"/>
      <c r="L57" s="1" t="s">
        <v>21</v>
      </c>
      <c r="M57" s="1" t="s">
        <v>22</v>
      </c>
    </row>
    <row r="58" spans="1:13" ht="30.75">
      <c r="A58" s="1" t="s">
        <v>68</v>
      </c>
      <c r="B58" s="1">
        <v>213146</v>
      </c>
      <c r="C58" s="1" t="s">
        <v>119</v>
      </c>
      <c r="D58" s="1" t="s">
        <v>115</v>
      </c>
      <c r="E58" s="1" t="s">
        <v>116</v>
      </c>
      <c r="F58" s="6">
        <v>230512</v>
      </c>
      <c r="G58" s="3"/>
      <c r="H58" s="1" t="s">
        <v>19</v>
      </c>
      <c r="I58" s="1" t="s">
        <v>19</v>
      </c>
      <c r="J58" s="1" t="s">
        <v>19</v>
      </c>
      <c r="K58" s="1"/>
      <c r="L58" s="1" t="s">
        <v>21</v>
      </c>
      <c r="M58" s="1" t="s">
        <v>22</v>
      </c>
    </row>
    <row r="59" spans="1:13" ht="30.75">
      <c r="A59" s="1" t="s">
        <v>68</v>
      </c>
      <c r="B59" s="1">
        <v>221335</v>
      </c>
      <c r="C59" s="1" t="s">
        <v>120</v>
      </c>
      <c r="D59" s="1" t="s">
        <v>41</v>
      </c>
      <c r="E59" s="1" t="s">
        <v>87</v>
      </c>
      <c r="F59" s="6">
        <v>550000</v>
      </c>
      <c r="G59" s="3" t="s">
        <v>43</v>
      </c>
      <c r="H59" s="1" t="s">
        <v>19</v>
      </c>
      <c r="I59" s="5" t="s">
        <v>19</v>
      </c>
      <c r="J59" s="1" t="s">
        <v>19</v>
      </c>
      <c r="K59" s="1"/>
      <c r="L59" s="1" t="s">
        <v>21</v>
      </c>
      <c r="M59" s="1" t="s">
        <v>22</v>
      </c>
    </row>
    <row r="60" spans="1:13" ht="30.75">
      <c r="A60" s="1" t="s">
        <v>121</v>
      </c>
      <c r="B60" s="1">
        <v>211044</v>
      </c>
      <c r="C60" s="1" t="s">
        <v>122</v>
      </c>
      <c r="D60" s="1" t="s">
        <v>41</v>
      </c>
      <c r="E60" s="1" t="s">
        <v>123</v>
      </c>
      <c r="F60" s="6">
        <v>1979277.74</v>
      </c>
      <c r="G60" s="3" t="s">
        <v>43</v>
      </c>
      <c r="H60" s="1" t="s">
        <v>19</v>
      </c>
      <c r="I60" s="5" t="s">
        <v>19</v>
      </c>
      <c r="J60" s="1" t="s">
        <v>19</v>
      </c>
      <c r="K60" s="1" t="s">
        <v>124</v>
      </c>
      <c r="L60" s="1" t="s">
        <v>21</v>
      </c>
      <c r="M60" s="1" t="s">
        <v>22</v>
      </c>
    </row>
    <row r="61" spans="1:13" ht="30.75">
      <c r="A61" s="1" t="s">
        <v>121</v>
      </c>
      <c r="B61" s="1">
        <v>211045</v>
      </c>
      <c r="C61" s="1" t="s">
        <v>125</v>
      </c>
      <c r="D61" s="1" t="s">
        <v>41</v>
      </c>
      <c r="E61" s="1" t="s">
        <v>123</v>
      </c>
      <c r="F61" s="6">
        <v>1979277.74</v>
      </c>
      <c r="G61" s="3" t="s">
        <v>43</v>
      </c>
      <c r="H61" s="1" t="s">
        <v>19</v>
      </c>
      <c r="I61" s="5" t="s">
        <v>19</v>
      </c>
      <c r="J61" s="1" t="s">
        <v>19</v>
      </c>
      <c r="K61" s="1" t="s">
        <v>126</v>
      </c>
      <c r="L61" s="1" t="s">
        <v>21</v>
      </c>
      <c r="M61" s="1" t="s">
        <v>22</v>
      </c>
    </row>
    <row r="62" spans="1:13" ht="30.75">
      <c r="A62" s="1" t="s">
        <v>121</v>
      </c>
      <c r="B62" s="1">
        <v>211046</v>
      </c>
      <c r="C62" s="1" t="s">
        <v>127</v>
      </c>
      <c r="D62" s="1" t="s">
        <v>41</v>
      </c>
      <c r="E62" s="1" t="s">
        <v>123</v>
      </c>
      <c r="F62" s="6">
        <v>1979277.74</v>
      </c>
      <c r="G62" s="3" t="s">
        <v>43</v>
      </c>
      <c r="H62" s="1" t="s">
        <v>19</v>
      </c>
      <c r="I62" s="5" t="s">
        <v>19</v>
      </c>
      <c r="J62" s="1" t="s">
        <v>19</v>
      </c>
      <c r="K62" s="1" t="s">
        <v>128</v>
      </c>
      <c r="L62" s="1" t="s">
        <v>21</v>
      </c>
      <c r="M62" s="1" t="s">
        <v>22</v>
      </c>
    </row>
    <row r="63" spans="1:13" ht="30.75">
      <c r="A63" s="1" t="s">
        <v>121</v>
      </c>
      <c r="B63" s="1">
        <v>211047</v>
      </c>
      <c r="C63" s="1" t="s">
        <v>129</v>
      </c>
      <c r="D63" s="1" t="s">
        <v>41</v>
      </c>
      <c r="E63" s="1" t="s">
        <v>123</v>
      </c>
      <c r="F63" s="6">
        <v>1979277.74</v>
      </c>
      <c r="G63" s="3" t="s">
        <v>43</v>
      </c>
      <c r="H63" s="1" t="s">
        <v>19</v>
      </c>
      <c r="I63" s="5" t="s">
        <v>19</v>
      </c>
      <c r="J63" s="1" t="s">
        <v>19</v>
      </c>
      <c r="K63" s="1" t="s">
        <v>130</v>
      </c>
      <c r="L63" s="1" t="s">
        <v>21</v>
      </c>
      <c r="M63" s="1" t="s">
        <v>22</v>
      </c>
    </row>
    <row r="64" spans="1:13" ht="30.75">
      <c r="A64" s="1" t="s">
        <v>121</v>
      </c>
      <c r="B64" s="1">
        <v>206640</v>
      </c>
      <c r="C64" s="1" t="s">
        <v>131</v>
      </c>
      <c r="D64" s="1" t="s">
        <v>41</v>
      </c>
      <c r="E64" s="1" t="s">
        <v>123</v>
      </c>
      <c r="F64" s="6">
        <v>1979277.74</v>
      </c>
      <c r="G64" s="3" t="s">
        <v>43</v>
      </c>
      <c r="H64" s="1" t="s">
        <v>19</v>
      </c>
      <c r="I64" s="5" t="s">
        <v>19</v>
      </c>
      <c r="J64" s="1" t="s">
        <v>19</v>
      </c>
      <c r="K64" s="1" t="s">
        <v>132</v>
      </c>
      <c r="L64" s="1" t="s">
        <v>133</v>
      </c>
      <c r="M64" s="1" t="s">
        <v>22</v>
      </c>
    </row>
    <row r="65" spans="1:13" ht="30.75">
      <c r="A65" s="1" t="s">
        <v>68</v>
      </c>
      <c r="B65" s="1">
        <v>221319</v>
      </c>
      <c r="C65" s="1" t="s">
        <v>134</v>
      </c>
      <c r="D65" s="1" t="s">
        <v>41</v>
      </c>
      <c r="E65" s="1" t="s">
        <v>87</v>
      </c>
      <c r="F65" s="6">
        <v>40608</v>
      </c>
      <c r="G65" s="3" t="s">
        <v>43</v>
      </c>
      <c r="H65" s="1" t="s">
        <v>19</v>
      </c>
      <c r="I65" s="5" t="s">
        <v>19</v>
      </c>
      <c r="J65" s="1" t="s">
        <v>19</v>
      </c>
      <c r="K65" s="1"/>
      <c r="L65" s="1" t="s">
        <v>21</v>
      </c>
      <c r="M65" s="1" t="s">
        <v>22</v>
      </c>
    </row>
    <row r="66" spans="1:13" ht="30.75">
      <c r="A66" s="1" t="s">
        <v>68</v>
      </c>
      <c r="B66" s="1">
        <v>221318</v>
      </c>
      <c r="C66" s="1" t="s">
        <v>135</v>
      </c>
      <c r="D66" s="1" t="s">
        <v>41</v>
      </c>
      <c r="E66" s="1" t="s">
        <v>87</v>
      </c>
      <c r="F66" s="6">
        <v>311001</v>
      </c>
      <c r="G66" s="3" t="s">
        <v>43</v>
      </c>
      <c r="H66" s="1" t="s">
        <v>19</v>
      </c>
      <c r="I66" s="5" t="s">
        <v>19</v>
      </c>
      <c r="J66" s="1" t="s">
        <v>19</v>
      </c>
      <c r="K66" s="1"/>
      <c r="L66" s="1" t="s">
        <v>21</v>
      </c>
      <c r="M66" s="1" t="s">
        <v>22</v>
      </c>
    </row>
    <row r="67" spans="1:13" ht="30.75">
      <c r="A67" s="1" t="s">
        <v>68</v>
      </c>
      <c r="B67" s="1">
        <v>221317</v>
      </c>
      <c r="C67" s="1" t="s">
        <v>136</v>
      </c>
      <c r="D67" s="1" t="s">
        <v>41</v>
      </c>
      <c r="E67" s="1" t="s">
        <v>87</v>
      </c>
      <c r="F67" s="6">
        <v>232000</v>
      </c>
      <c r="G67" s="3" t="s">
        <v>43</v>
      </c>
      <c r="H67" s="1" t="s">
        <v>19</v>
      </c>
      <c r="I67" s="5" t="s">
        <v>19</v>
      </c>
      <c r="J67" s="1" t="s">
        <v>19</v>
      </c>
      <c r="K67" s="1"/>
      <c r="L67" s="1" t="s">
        <v>21</v>
      </c>
      <c r="M67" s="1" t="s">
        <v>22</v>
      </c>
    </row>
    <row r="68" spans="1:13" ht="30.75">
      <c r="A68" s="1" t="s">
        <v>68</v>
      </c>
      <c r="B68" s="1">
        <v>221316</v>
      </c>
      <c r="C68" s="1" t="s">
        <v>137</v>
      </c>
      <c r="D68" s="1" t="s">
        <v>41</v>
      </c>
      <c r="E68" s="1" t="s">
        <v>87</v>
      </c>
      <c r="F68" s="6">
        <v>498334</v>
      </c>
      <c r="G68" s="3" t="s">
        <v>43</v>
      </c>
      <c r="H68" s="1" t="s">
        <v>19</v>
      </c>
      <c r="I68" s="5" t="s">
        <v>19</v>
      </c>
      <c r="J68" s="1" t="s">
        <v>19</v>
      </c>
      <c r="K68" s="1"/>
      <c r="L68" s="1" t="s">
        <v>21</v>
      </c>
      <c r="M68" s="1" t="s">
        <v>22</v>
      </c>
    </row>
    <row r="69" spans="1:13" ht="30.75">
      <c r="A69" s="1" t="s">
        <v>68</v>
      </c>
      <c r="B69" s="1">
        <v>221315</v>
      </c>
      <c r="C69" s="1" t="s">
        <v>138</v>
      </c>
      <c r="D69" s="1" t="s">
        <v>41</v>
      </c>
      <c r="E69" s="1" t="s">
        <v>87</v>
      </c>
      <c r="F69" s="6">
        <v>666295</v>
      </c>
      <c r="G69" s="3" t="s">
        <v>43</v>
      </c>
      <c r="H69" s="1" t="s">
        <v>19</v>
      </c>
      <c r="I69" s="5" t="s">
        <v>19</v>
      </c>
      <c r="J69" s="1" t="s">
        <v>19</v>
      </c>
      <c r="K69" s="1"/>
      <c r="L69" s="1" t="s">
        <v>21</v>
      </c>
      <c r="M69" s="1" t="s">
        <v>22</v>
      </c>
    </row>
    <row r="70" spans="1:13" ht="30.75">
      <c r="A70" s="1" t="s">
        <v>68</v>
      </c>
      <c r="B70" s="1">
        <v>221314</v>
      </c>
      <c r="C70" s="1" t="s">
        <v>139</v>
      </c>
      <c r="D70" s="1" t="s">
        <v>41</v>
      </c>
      <c r="E70" s="1" t="s">
        <v>87</v>
      </c>
      <c r="F70" s="6">
        <v>33660</v>
      </c>
      <c r="G70" s="3" t="s">
        <v>43</v>
      </c>
      <c r="H70" s="1" t="s">
        <v>19</v>
      </c>
      <c r="I70" s="5" t="s">
        <v>19</v>
      </c>
      <c r="J70" s="1" t="s">
        <v>19</v>
      </c>
      <c r="K70" s="1"/>
      <c r="L70" s="1" t="s">
        <v>21</v>
      </c>
      <c r="M70" s="1" t="s">
        <v>22</v>
      </c>
    </row>
    <row r="71" spans="1:13" ht="30.75">
      <c r="A71" s="1" t="s">
        <v>68</v>
      </c>
      <c r="B71" s="1">
        <v>221313</v>
      </c>
      <c r="C71" s="1" t="s">
        <v>140</v>
      </c>
      <c r="D71" s="1" t="s">
        <v>41</v>
      </c>
      <c r="E71" s="1" t="s">
        <v>87</v>
      </c>
      <c r="F71" s="6">
        <v>31292</v>
      </c>
      <c r="G71" s="3" t="s">
        <v>43</v>
      </c>
      <c r="H71" s="1" t="s">
        <v>19</v>
      </c>
      <c r="I71" s="5" t="s">
        <v>19</v>
      </c>
      <c r="J71" s="1" t="s">
        <v>19</v>
      </c>
      <c r="K71" s="1"/>
      <c r="L71" s="1" t="s">
        <v>21</v>
      </c>
      <c r="M71" s="1" t="s">
        <v>22</v>
      </c>
    </row>
    <row r="72" spans="1:13" ht="30.75">
      <c r="A72" s="1" t="s">
        <v>68</v>
      </c>
      <c r="B72" s="1">
        <v>221312</v>
      </c>
      <c r="C72" s="1" t="s">
        <v>141</v>
      </c>
      <c r="D72" s="1" t="s">
        <v>41</v>
      </c>
      <c r="E72" s="1" t="s">
        <v>87</v>
      </c>
      <c r="F72" s="6">
        <v>273634</v>
      </c>
      <c r="G72" s="3" t="s">
        <v>43</v>
      </c>
      <c r="H72" s="1" t="s">
        <v>19</v>
      </c>
      <c r="I72" s="5" t="s">
        <v>19</v>
      </c>
      <c r="J72" s="1" t="s">
        <v>19</v>
      </c>
      <c r="K72" s="1"/>
      <c r="L72" s="1" t="s">
        <v>21</v>
      </c>
      <c r="M72" s="1" t="s">
        <v>22</v>
      </c>
    </row>
    <row r="73" spans="1:13" ht="30.75">
      <c r="A73" s="1" t="s">
        <v>68</v>
      </c>
      <c r="B73" s="1">
        <v>221311</v>
      </c>
      <c r="C73" s="1" t="s">
        <v>142</v>
      </c>
      <c r="D73" s="1" t="s">
        <v>41</v>
      </c>
      <c r="E73" s="1" t="s">
        <v>87</v>
      </c>
      <c r="F73" s="6">
        <v>73440</v>
      </c>
      <c r="G73" s="3" t="s">
        <v>43</v>
      </c>
      <c r="H73" s="1" t="s">
        <v>19</v>
      </c>
      <c r="I73" s="5" t="s">
        <v>19</v>
      </c>
      <c r="J73" s="1" t="s">
        <v>19</v>
      </c>
      <c r="K73" s="1"/>
      <c r="L73" s="1" t="s">
        <v>21</v>
      </c>
      <c r="M73" s="1" t="s">
        <v>22</v>
      </c>
    </row>
    <row r="74" spans="1:13" ht="30.75">
      <c r="A74" s="1" t="s">
        <v>68</v>
      </c>
      <c r="B74" s="1">
        <v>221310</v>
      </c>
      <c r="C74" s="1" t="s">
        <v>143</v>
      </c>
      <c r="D74" s="1" t="s">
        <v>41</v>
      </c>
      <c r="E74" s="1" t="s">
        <v>87</v>
      </c>
      <c r="F74" s="6">
        <v>5584</v>
      </c>
      <c r="G74" s="3" t="s">
        <v>43</v>
      </c>
      <c r="H74" s="1" t="s">
        <v>19</v>
      </c>
      <c r="I74" s="5" t="s">
        <v>19</v>
      </c>
      <c r="J74" s="1" t="s">
        <v>19</v>
      </c>
      <c r="K74" s="1"/>
      <c r="L74" s="1" t="s">
        <v>21</v>
      </c>
      <c r="M74" s="1" t="s">
        <v>22</v>
      </c>
    </row>
    <row r="75" spans="1:13" ht="30.75">
      <c r="A75" s="1" t="s">
        <v>68</v>
      </c>
      <c r="B75" s="1">
        <v>221308</v>
      </c>
      <c r="C75" s="1" t="s">
        <v>144</v>
      </c>
      <c r="D75" s="1" t="s">
        <v>41</v>
      </c>
      <c r="E75" s="1" t="s">
        <v>87</v>
      </c>
      <c r="F75" s="6">
        <v>253457</v>
      </c>
      <c r="G75" s="3" t="s">
        <v>43</v>
      </c>
      <c r="H75" s="1" t="s">
        <v>19</v>
      </c>
      <c r="I75" s="5" t="s">
        <v>19</v>
      </c>
      <c r="J75" s="1" t="s">
        <v>19</v>
      </c>
      <c r="K75" s="1"/>
      <c r="L75" s="1" t="s">
        <v>21</v>
      </c>
      <c r="M75" s="1" t="s">
        <v>22</v>
      </c>
    </row>
    <row r="76" spans="1:13" ht="30.75">
      <c r="A76" s="1" t="s">
        <v>121</v>
      </c>
      <c r="B76" s="1">
        <v>206509</v>
      </c>
      <c r="C76" s="1" t="s">
        <v>145</v>
      </c>
      <c r="D76" s="1" t="s">
        <v>41</v>
      </c>
      <c r="E76" s="1" t="s">
        <v>123</v>
      </c>
      <c r="F76" s="6">
        <v>2182228.65</v>
      </c>
      <c r="G76" s="3" t="s">
        <v>43</v>
      </c>
      <c r="H76" s="1" t="s">
        <v>19</v>
      </c>
      <c r="I76" s="1" t="s">
        <v>19</v>
      </c>
      <c r="J76" s="1" t="s">
        <v>19</v>
      </c>
      <c r="K76" s="1" t="s">
        <v>146</v>
      </c>
      <c r="L76" s="1" t="s">
        <v>133</v>
      </c>
      <c r="M76" s="1" t="s">
        <v>22</v>
      </c>
    </row>
    <row r="77" spans="1:13" ht="45.75">
      <c r="A77" s="1" t="s">
        <v>121</v>
      </c>
      <c r="B77" s="1">
        <v>208179</v>
      </c>
      <c r="C77" s="1" t="s">
        <v>147</v>
      </c>
      <c r="D77" s="1" t="s">
        <v>41</v>
      </c>
      <c r="E77" s="1" t="s">
        <v>123</v>
      </c>
      <c r="F77" s="6">
        <v>1979277.74</v>
      </c>
      <c r="G77" s="3" t="s">
        <v>43</v>
      </c>
      <c r="H77" s="1" t="s">
        <v>35</v>
      </c>
      <c r="I77" s="1" t="s">
        <v>148</v>
      </c>
      <c r="J77" s="1" t="s">
        <v>149</v>
      </c>
      <c r="K77" s="1" t="s">
        <v>150</v>
      </c>
      <c r="L77" s="1" t="s">
        <v>21</v>
      </c>
      <c r="M77" s="1" t="s">
        <v>22</v>
      </c>
    </row>
    <row r="78" spans="1:13" ht="30.75">
      <c r="A78" s="1" t="s">
        <v>121</v>
      </c>
      <c r="B78" s="1">
        <v>208178</v>
      </c>
      <c r="C78" s="1" t="s">
        <v>151</v>
      </c>
      <c r="D78" s="1" t="s">
        <v>41</v>
      </c>
      <c r="E78" s="1" t="s">
        <v>123</v>
      </c>
      <c r="F78" s="6">
        <v>994065.67</v>
      </c>
      <c r="G78" s="3" t="s">
        <v>43</v>
      </c>
      <c r="H78" s="1" t="s">
        <v>35</v>
      </c>
      <c r="I78" s="1" t="s">
        <v>152</v>
      </c>
      <c r="J78" s="1" t="s">
        <v>153</v>
      </c>
      <c r="K78" s="1" t="s">
        <v>154</v>
      </c>
      <c r="L78" s="1" t="s">
        <v>21</v>
      </c>
      <c r="M78" s="1" t="s">
        <v>22</v>
      </c>
    </row>
    <row r="79" spans="1:13" ht="30.75">
      <c r="A79" s="1" t="s">
        <v>121</v>
      </c>
      <c r="B79" s="1">
        <v>208177</v>
      </c>
      <c r="C79" s="1" t="s">
        <v>155</v>
      </c>
      <c r="D79" s="1" t="s">
        <v>41</v>
      </c>
      <c r="E79" s="1" t="s">
        <v>123</v>
      </c>
      <c r="F79" s="6">
        <v>994065.67</v>
      </c>
      <c r="G79" s="3" t="s">
        <v>43</v>
      </c>
      <c r="H79" s="1" t="s">
        <v>35</v>
      </c>
      <c r="I79" s="1" t="s">
        <v>152</v>
      </c>
      <c r="J79" s="1" t="s">
        <v>153</v>
      </c>
      <c r="K79" s="1" t="s">
        <v>156</v>
      </c>
      <c r="L79" s="1" t="s">
        <v>21</v>
      </c>
      <c r="M79" s="1" t="s">
        <v>22</v>
      </c>
    </row>
    <row r="80" spans="1:13">
      <c r="A80" s="1"/>
      <c r="B80" s="1"/>
      <c r="C80" s="1"/>
      <c r="D80" s="1"/>
      <c r="E80" s="1"/>
      <c r="F80" s="6">
        <f>SUBTOTAL(109,Tabela1[VALOR DO PLEITO])</f>
        <v>32000000</v>
      </c>
      <c r="G80" s="3"/>
      <c r="H80" s="1"/>
      <c r="I80" s="1"/>
      <c r="J80" s="1"/>
      <c r="K80" s="1"/>
      <c r="L80" s="1"/>
      <c r="M8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32-73B9-4137-816D-C841C353A226}">
  <dimension ref="A1:N75"/>
  <sheetViews>
    <sheetView workbookViewId="0"/>
  </sheetViews>
  <sheetFormatPr defaultRowHeight="15"/>
  <cols>
    <col min="1" max="1" width="21.7109375" customWidth="1"/>
    <col min="2" max="2" width="46.7109375" style="2" customWidth="1"/>
    <col min="3" max="3" width="63" customWidth="1"/>
    <col min="4" max="4" width="16.5703125" bestFit="1" customWidth="1"/>
    <col min="5" max="5" width="16.85546875" bestFit="1" customWidth="1"/>
    <col min="6" max="7" width="17.7109375" bestFit="1" customWidth="1"/>
    <col min="8" max="8" width="10.140625" customWidth="1"/>
    <col min="9" max="9" width="18.85546875" bestFit="1" customWidth="1"/>
    <col min="10" max="10" width="9.85546875" customWidth="1"/>
    <col min="11" max="11" width="18.28515625" bestFit="1" customWidth="1"/>
    <col min="12" max="12" width="17.5703125" bestFit="1" customWidth="1"/>
    <col min="13" max="14" width="18.7109375" bestFit="1" customWidth="1"/>
  </cols>
  <sheetData>
    <row r="1" spans="1:14">
      <c r="B1"/>
    </row>
    <row r="2" spans="1:14">
      <c r="A2" s="12" t="s">
        <v>12</v>
      </c>
      <c r="B2" s="2" t="s">
        <v>22</v>
      </c>
    </row>
    <row r="3" spans="1:14">
      <c r="A3" s="12" t="s">
        <v>9</v>
      </c>
      <c r="B3" t="s">
        <v>157</v>
      </c>
    </row>
    <row r="4" spans="1:14">
      <c r="B4"/>
    </row>
    <row r="5" spans="1:14">
      <c r="A5" s="12" t="s">
        <v>158</v>
      </c>
      <c r="B5"/>
      <c r="D5" s="12" t="s">
        <v>11</v>
      </c>
      <c r="K5" s="10" t="s">
        <v>159</v>
      </c>
      <c r="L5" t="s">
        <v>160</v>
      </c>
      <c r="M5" t="s">
        <v>161</v>
      </c>
      <c r="N5" s="10" t="s">
        <v>162</v>
      </c>
    </row>
    <row r="6" spans="1:14">
      <c r="A6" s="12" t="s">
        <v>3</v>
      </c>
      <c r="B6" s="12" t="s">
        <v>4</v>
      </c>
      <c r="C6" s="13" t="s">
        <v>2</v>
      </c>
      <c r="D6" t="s">
        <v>30</v>
      </c>
      <c r="E6" t="s">
        <v>133</v>
      </c>
      <c r="F6" t="s">
        <v>21</v>
      </c>
      <c r="G6" t="s">
        <v>163</v>
      </c>
      <c r="K6" s="10" t="s">
        <v>19</v>
      </c>
      <c r="L6" s="10">
        <v>8775780.379999999</v>
      </c>
      <c r="M6" s="10">
        <v>12979343.02</v>
      </c>
      <c r="N6" s="10">
        <f>SUM(L6:M6)</f>
        <v>21755123.399999999</v>
      </c>
    </row>
    <row r="7" spans="1:14">
      <c r="A7" t="s">
        <v>109</v>
      </c>
      <c r="B7"/>
      <c r="D7" s="10"/>
      <c r="E7" s="10"/>
      <c r="F7" s="10">
        <v>180000</v>
      </c>
      <c r="G7" s="10">
        <v>180000</v>
      </c>
      <c r="K7" s="10" t="s">
        <v>164</v>
      </c>
      <c r="L7" s="10">
        <v>4161506.3899999997</v>
      </c>
      <c r="M7" s="10">
        <v>63777059.039999992</v>
      </c>
      <c r="N7" s="10">
        <f t="shared" ref="N7:N10" si="0">SUM(L7:M7)</f>
        <v>67938565.429999992</v>
      </c>
    </row>
    <row r="8" spans="1:14">
      <c r="A8" t="s">
        <v>16</v>
      </c>
      <c r="B8" t="s">
        <v>66</v>
      </c>
      <c r="C8" s="2" t="s">
        <v>65</v>
      </c>
      <c r="D8" s="10"/>
      <c r="E8" s="10"/>
      <c r="F8" s="10">
        <v>13500000</v>
      </c>
      <c r="G8" s="10">
        <v>13500000</v>
      </c>
      <c r="I8" s="10">
        <f>SUM(G11+G8+G9)</f>
        <v>18832401.34</v>
      </c>
      <c r="K8" s="10" t="s">
        <v>165</v>
      </c>
      <c r="L8" s="10"/>
      <c r="M8" s="10">
        <v>32000000</v>
      </c>
      <c r="N8" s="10">
        <f t="shared" si="0"/>
        <v>32000000</v>
      </c>
    </row>
    <row r="9" spans="1:14" ht="76.5">
      <c r="B9" t="s">
        <v>24</v>
      </c>
      <c r="C9" s="2" t="s">
        <v>23</v>
      </c>
      <c r="D9" s="10"/>
      <c r="E9" s="10"/>
      <c r="F9" s="10">
        <v>4999731.34</v>
      </c>
      <c r="G9" s="10">
        <v>4999731.34</v>
      </c>
      <c r="K9" s="10" t="s">
        <v>166</v>
      </c>
      <c r="L9" s="10"/>
      <c r="M9" s="10">
        <v>65000000</v>
      </c>
      <c r="N9" s="10">
        <f t="shared" si="0"/>
        <v>65000000</v>
      </c>
    </row>
    <row r="10" spans="1:14">
      <c r="B10" t="s">
        <v>17</v>
      </c>
      <c r="C10" s="2" t="s">
        <v>15</v>
      </c>
      <c r="D10" s="10"/>
      <c r="E10" s="10"/>
      <c r="F10" s="10">
        <v>7979611.6799999997</v>
      </c>
      <c r="G10" s="10">
        <v>7979611.6799999997</v>
      </c>
      <c r="K10" s="10" t="s">
        <v>162</v>
      </c>
      <c r="L10" s="10">
        <f>SUM(L5:L9)</f>
        <v>12937286.77</v>
      </c>
      <c r="M10" s="14">
        <f>SUM(M5:M9)</f>
        <v>173756402.06</v>
      </c>
      <c r="N10" s="10">
        <f t="shared" si="0"/>
        <v>186693688.83000001</v>
      </c>
    </row>
    <row r="11" spans="1:14">
      <c r="B11"/>
      <c r="C11" s="2" t="s">
        <v>69</v>
      </c>
      <c r="D11" s="10">
        <v>332670</v>
      </c>
      <c r="E11" s="10"/>
      <c r="F11" s="10"/>
      <c r="G11" s="10">
        <v>332670</v>
      </c>
      <c r="K11" s="10"/>
      <c r="L11" s="10"/>
      <c r="M11" s="10">
        <f>M10-150000000</f>
        <v>23756402.060000002</v>
      </c>
      <c r="N11" s="10"/>
    </row>
    <row r="12" spans="1:14">
      <c r="B12"/>
      <c r="C12" s="2" t="s">
        <v>71</v>
      </c>
      <c r="D12" s="10">
        <v>490000</v>
      </c>
      <c r="E12" s="10"/>
      <c r="F12" s="10"/>
      <c r="G12" s="10">
        <v>490000</v>
      </c>
      <c r="M12" s="10">
        <v>15000000</v>
      </c>
    </row>
    <row r="13" spans="1:14">
      <c r="B13" t="s">
        <v>73</v>
      </c>
      <c r="C13" s="2" t="s">
        <v>72</v>
      </c>
      <c r="D13" s="10"/>
      <c r="E13" s="10"/>
      <c r="F13" s="10">
        <v>1558823</v>
      </c>
      <c r="G13" s="10">
        <v>1558823</v>
      </c>
      <c r="M13" s="10">
        <v>5000000</v>
      </c>
    </row>
    <row r="14" spans="1:14">
      <c r="B14"/>
      <c r="C14" s="2" t="s">
        <v>75</v>
      </c>
      <c r="D14" s="10"/>
      <c r="E14" s="10"/>
      <c r="F14" s="10">
        <v>389188</v>
      </c>
      <c r="G14" s="10">
        <v>389188</v>
      </c>
    </row>
    <row r="15" spans="1:14">
      <c r="B15"/>
      <c r="C15" s="2" t="s">
        <v>76</v>
      </c>
      <c r="D15" s="10"/>
      <c r="E15" s="10"/>
      <c r="F15" s="10">
        <v>476625</v>
      </c>
      <c r="G15" s="10">
        <v>476625</v>
      </c>
    </row>
    <row r="16" spans="1:14">
      <c r="B16"/>
      <c r="C16" s="2" t="s">
        <v>77</v>
      </c>
      <c r="D16" s="10"/>
      <c r="E16" s="10"/>
      <c r="F16" s="10">
        <v>521550</v>
      </c>
      <c r="G16" s="10">
        <v>521550</v>
      </c>
    </row>
    <row r="17" spans="1:7">
      <c r="B17"/>
      <c r="C17" s="2" t="s">
        <v>78</v>
      </c>
      <c r="D17" s="10"/>
      <c r="E17" s="10"/>
      <c r="F17" s="10">
        <v>251000</v>
      </c>
      <c r="G17" s="10">
        <v>251000</v>
      </c>
    </row>
    <row r="18" spans="1:7">
      <c r="B18"/>
      <c r="C18" s="2" t="s">
        <v>79</v>
      </c>
      <c r="D18" s="10"/>
      <c r="E18" s="10"/>
      <c r="F18" s="10">
        <v>167930</v>
      </c>
      <c r="G18" s="10">
        <v>167930</v>
      </c>
    </row>
    <row r="19" spans="1:7">
      <c r="B19"/>
      <c r="C19" s="2" t="s">
        <v>80</v>
      </c>
      <c r="D19" s="10"/>
      <c r="E19" s="10"/>
      <c r="F19" s="10">
        <v>400972</v>
      </c>
      <c r="G19" s="10">
        <v>400972</v>
      </c>
    </row>
    <row r="20" spans="1:7">
      <c r="B20"/>
      <c r="C20" s="2" t="s">
        <v>81</v>
      </c>
      <c r="D20" s="10"/>
      <c r="E20" s="10"/>
      <c r="F20" s="10">
        <v>614652</v>
      </c>
      <c r="G20" s="10">
        <v>614652</v>
      </c>
    </row>
    <row r="21" spans="1:7">
      <c r="B21"/>
      <c r="C21" s="2" t="s">
        <v>82</v>
      </c>
      <c r="D21" s="10"/>
      <c r="E21" s="10"/>
      <c r="F21" s="10">
        <v>788664</v>
      </c>
      <c r="G21" s="10">
        <v>788664</v>
      </c>
    </row>
    <row r="22" spans="1:7">
      <c r="B22"/>
      <c r="C22" s="2" t="s">
        <v>83</v>
      </c>
      <c r="D22" s="10"/>
      <c r="E22" s="10"/>
      <c r="F22" s="10">
        <v>598000</v>
      </c>
      <c r="G22" s="10">
        <v>598000</v>
      </c>
    </row>
    <row r="23" spans="1:7">
      <c r="B23"/>
      <c r="C23" s="2" t="s">
        <v>84</v>
      </c>
      <c r="D23" s="10"/>
      <c r="E23" s="10"/>
      <c r="F23" s="10">
        <v>581408</v>
      </c>
      <c r="G23" s="10">
        <v>581408</v>
      </c>
    </row>
    <row r="24" spans="1:7">
      <c r="B24"/>
      <c r="C24" s="2" t="s">
        <v>85</v>
      </c>
      <c r="D24" s="10"/>
      <c r="E24" s="10"/>
      <c r="F24" s="10">
        <v>542502</v>
      </c>
      <c r="G24" s="10">
        <v>542502</v>
      </c>
    </row>
    <row r="25" spans="1:7">
      <c r="A25" t="s">
        <v>96</v>
      </c>
      <c r="B25" t="s">
        <v>97</v>
      </c>
      <c r="C25" s="2" t="s">
        <v>95</v>
      </c>
      <c r="D25" s="10"/>
      <c r="E25" s="10"/>
      <c r="F25" s="10">
        <v>180000</v>
      </c>
      <c r="G25" s="10">
        <v>180000</v>
      </c>
    </row>
    <row r="26" spans="1:7">
      <c r="B26"/>
      <c r="C26" s="2" t="s">
        <v>98</v>
      </c>
      <c r="D26" s="10"/>
      <c r="E26" s="10"/>
      <c r="F26" s="10">
        <v>180000</v>
      </c>
      <c r="G26" s="10">
        <v>180000</v>
      </c>
    </row>
    <row r="27" spans="1:7">
      <c r="A27" t="s">
        <v>27</v>
      </c>
      <c r="B27"/>
      <c r="D27" s="10">
        <v>7953110.3799999999</v>
      </c>
      <c r="E27" s="10"/>
      <c r="F27" s="10"/>
      <c r="G27" s="10">
        <v>7953110.3799999999</v>
      </c>
    </row>
    <row r="28" spans="1:7">
      <c r="A28" t="s">
        <v>115</v>
      </c>
      <c r="B28" t="s">
        <v>116</v>
      </c>
      <c r="C28" s="2" t="s">
        <v>118</v>
      </c>
      <c r="D28" s="10"/>
      <c r="E28" s="10"/>
      <c r="F28" s="10">
        <v>379890</v>
      </c>
      <c r="G28" s="10">
        <v>379890</v>
      </c>
    </row>
    <row r="29" spans="1:7">
      <c r="B29"/>
      <c r="C29" s="2" t="s">
        <v>114</v>
      </c>
      <c r="D29" s="10"/>
      <c r="E29" s="10"/>
      <c r="F29" s="10">
        <v>82520</v>
      </c>
      <c r="G29" s="10">
        <v>82520</v>
      </c>
    </row>
    <row r="30" spans="1:7">
      <c r="B30"/>
      <c r="C30" s="2" t="s">
        <v>117</v>
      </c>
      <c r="D30" s="10"/>
      <c r="E30" s="10"/>
      <c r="F30" s="10">
        <v>180000</v>
      </c>
      <c r="G30" s="10">
        <v>180000</v>
      </c>
    </row>
    <row r="31" spans="1:7">
      <c r="B31"/>
      <c r="C31" s="2" t="s">
        <v>88</v>
      </c>
      <c r="D31" s="10"/>
      <c r="E31" s="10"/>
      <c r="F31" s="10">
        <v>180000</v>
      </c>
      <c r="G31" s="10">
        <v>180000</v>
      </c>
    </row>
    <row r="32" spans="1:7">
      <c r="B32"/>
      <c r="C32" s="2" t="s">
        <v>108</v>
      </c>
      <c r="D32" s="10"/>
      <c r="E32" s="10"/>
      <c r="F32" s="10">
        <v>540000</v>
      </c>
      <c r="G32" s="10">
        <v>540000</v>
      </c>
    </row>
    <row r="33" spans="1:7">
      <c r="B33"/>
      <c r="C33" s="2" t="s">
        <v>107</v>
      </c>
      <c r="D33" s="10"/>
      <c r="E33" s="10"/>
      <c r="F33" s="10">
        <v>385723</v>
      </c>
      <c r="G33" s="10">
        <v>385723</v>
      </c>
    </row>
    <row r="34" spans="1:7">
      <c r="B34"/>
      <c r="C34" s="2" t="s">
        <v>119</v>
      </c>
      <c r="D34" s="10"/>
      <c r="E34" s="10"/>
      <c r="F34" s="10">
        <v>230512</v>
      </c>
      <c r="G34" s="10">
        <v>230512</v>
      </c>
    </row>
    <row r="35" spans="1:7">
      <c r="A35" t="s">
        <v>41</v>
      </c>
      <c r="B35"/>
      <c r="D35" s="10"/>
      <c r="E35" s="10">
        <v>1979277.74</v>
      </c>
      <c r="F35" s="10">
        <v>20899690.960000001</v>
      </c>
      <c r="G35" s="10">
        <v>22878968.699999999</v>
      </c>
    </row>
    <row r="36" spans="1:7">
      <c r="A36" s="2" t="s">
        <v>163</v>
      </c>
      <c r="C36" s="2"/>
      <c r="D36" s="10">
        <v>8775780.379999999</v>
      </c>
      <c r="E36" s="10">
        <v>1979277.74</v>
      </c>
      <c r="F36" s="10">
        <v>56788992.979999997</v>
      </c>
      <c r="G36" s="10">
        <v>67544051.099999994</v>
      </c>
    </row>
    <row r="37" spans="1:7">
      <c r="B37"/>
    </row>
    <row r="38" spans="1:7">
      <c r="B38"/>
    </row>
    <row r="39" spans="1:7">
      <c r="B39"/>
    </row>
    <row r="40" spans="1:7">
      <c r="B40"/>
    </row>
    <row r="41" spans="1:7">
      <c r="B41"/>
    </row>
    <row r="42" spans="1:7">
      <c r="B42"/>
    </row>
    <row r="43" spans="1:7">
      <c r="B43"/>
    </row>
    <row r="44" spans="1:7">
      <c r="B44"/>
    </row>
    <row r="45" spans="1:7">
      <c r="B45"/>
    </row>
    <row r="46" spans="1:7">
      <c r="B46"/>
    </row>
    <row r="47" spans="1:7">
      <c r="B47"/>
    </row>
    <row r="48" spans="1:7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E92E-E736-4DF7-A565-FFB853487042}">
  <dimension ref="A1:G46"/>
  <sheetViews>
    <sheetView workbookViewId="0">
      <selection activeCell="E52" sqref="E52"/>
    </sheetView>
  </sheetViews>
  <sheetFormatPr defaultRowHeight="15"/>
  <cols>
    <col min="1" max="1" width="22.28515625" bestFit="1" customWidth="1"/>
    <col min="2" max="2" width="33.140625" customWidth="1"/>
    <col min="3" max="3" width="18.85546875" customWidth="1"/>
    <col min="4" max="5" width="39" customWidth="1"/>
    <col min="6" max="7" width="48.42578125" customWidth="1"/>
  </cols>
  <sheetData>
    <row r="1" spans="1:7">
      <c r="A1" s="15" t="s">
        <v>167</v>
      </c>
      <c r="B1" s="15" t="s">
        <v>168</v>
      </c>
      <c r="C1" s="15" t="s">
        <v>169</v>
      </c>
      <c r="D1" s="16" t="s">
        <v>170</v>
      </c>
      <c r="E1" s="16" t="s">
        <v>171</v>
      </c>
      <c r="F1" s="15" t="s">
        <v>172</v>
      </c>
      <c r="G1" s="15" t="s">
        <v>173</v>
      </c>
    </row>
    <row r="2" spans="1:7" ht="30.75">
      <c r="A2" s="17" t="s">
        <v>174</v>
      </c>
      <c r="B2" s="18" t="s">
        <v>175</v>
      </c>
      <c r="C2" s="19">
        <v>65000000</v>
      </c>
      <c r="D2" s="20" t="s">
        <v>176</v>
      </c>
      <c r="E2" s="20" t="s">
        <v>177</v>
      </c>
      <c r="F2" s="21"/>
      <c r="G2" s="18" t="s">
        <v>178</v>
      </c>
    </row>
    <row r="3" spans="1:7" ht="30.75" hidden="1">
      <c r="A3" s="17" t="s">
        <v>179</v>
      </c>
      <c r="B3" s="18" t="s">
        <v>180</v>
      </c>
      <c r="C3" s="19">
        <v>15000000</v>
      </c>
      <c r="D3" s="18" t="s">
        <v>181</v>
      </c>
      <c r="E3" s="18" t="s">
        <v>182</v>
      </c>
      <c r="F3" s="18" t="s">
        <v>183</v>
      </c>
      <c r="G3" s="18"/>
    </row>
    <row r="4" spans="1:7" ht="30.75">
      <c r="A4" s="17" t="s">
        <v>174</v>
      </c>
      <c r="B4" s="18" t="s">
        <v>184</v>
      </c>
      <c r="C4" s="19">
        <v>2154510</v>
      </c>
      <c r="D4" s="11" t="s">
        <v>185</v>
      </c>
      <c r="E4" s="18" t="s">
        <v>186</v>
      </c>
      <c r="F4" s="21" t="s">
        <v>187</v>
      </c>
      <c r="G4" s="18"/>
    </row>
    <row r="5" spans="1:7" ht="30.75" hidden="1">
      <c r="A5" s="22" t="s">
        <v>188</v>
      </c>
      <c r="B5" s="18" t="s">
        <v>189</v>
      </c>
      <c r="C5" s="19">
        <v>430902</v>
      </c>
      <c r="D5" s="18" t="s">
        <v>190</v>
      </c>
      <c r="E5" s="18" t="s">
        <v>186</v>
      </c>
      <c r="F5" s="18"/>
      <c r="G5" s="18"/>
    </row>
    <row r="6" spans="1:7" ht="30.75" hidden="1">
      <c r="A6" s="22" t="s">
        <v>188</v>
      </c>
      <c r="B6" s="18" t="s">
        <v>189</v>
      </c>
      <c r="C6" s="19">
        <v>1053899</v>
      </c>
      <c r="D6" s="18" t="s">
        <v>191</v>
      </c>
      <c r="E6" s="18" t="s">
        <v>186</v>
      </c>
      <c r="F6" s="18"/>
      <c r="G6" s="18"/>
    </row>
    <row r="7" spans="1:7" ht="30.75" hidden="1">
      <c r="A7" s="22" t="s">
        <v>188</v>
      </c>
      <c r="B7" s="18" t="s">
        <v>192</v>
      </c>
      <c r="C7" s="23">
        <v>337563</v>
      </c>
      <c r="D7" s="18" t="s">
        <v>193</v>
      </c>
      <c r="E7" s="18" t="s">
        <v>186</v>
      </c>
      <c r="F7" s="21" t="s">
        <v>194</v>
      </c>
      <c r="G7" s="21"/>
    </row>
    <row r="8" spans="1:7" ht="30.75" hidden="1">
      <c r="A8" s="17" t="s">
        <v>195</v>
      </c>
      <c r="B8" s="18" t="s">
        <v>196</v>
      </c>
      <c r="C8" s="19">
        <v>1053899</v>
      </c>
      <c r="D8" s="18" t="s">
        <v>191</v>
      </c>
      <c r="E8" s="18" t="s">
        <v>186</v>
      </c>
      <c r="F8" s="18"/>
      <c r="G8" s="18"/>
    </row>
    <row r="9" spans="1:7" ht="45.75" hidden="1">
      <c r="A9" s="17" t="s">
        <v>195</v>
      </c>
      <c r="B9" s="18" t="s">
        <v>196</v>
      </c>
      <c r="C9" s="19">
        <v>4000000</v>
      </c>
      <c r="D9" s="18" t="s">
        <v>197</v>
      </c>
      <c r="E9" s="18" t="s">
        <v>186</v>
      </c>
      <c r="F9" s="18"/>
      <c r="G9" s="18" t="s">
        <v>198</v>
      </c>
    </row>
    <row r="10" spans="1:7" ht="30.75" hidden="1">
      <c r="A10" s="17" t="s">
        <v>179</v>
      </c>
      <c r="B10" s="18" t="s">
        <v>199</v>
      </c>
      <c r="C10" s="19">
        <v>11400000</v>
      </c>
      <c r="D10" s="18" t="s">
        <v>200</v>
      </c>
      <c r="E10" s="18" t="s">
        <v>186</v>
      </c>
      <c r="F10" s="20" t="s">
        <v>201</v>
      </c>
      <c r="G10" s="18" t="s">
        <v>202</v>
      </c>
    </row>
    <row r="11" spans="1:7" hidden="1">
      <c r="A11" s="17" t="s">
        <v>203</v>
      </c>
      <c r="B11" s="18" t="s">
        <v>204</v>
      </c>
      <c r="C11" s="19">
        <v>861804</v>
      </c>
      <c r="D11" s="18" t="s">
        <v>205</v>
      </c>
      <c r="E11" s="18" t="s">
        <v>186</v>
      </c>
      <c r="F11" s="18"/>
      <c r="G11" s="24"/>
    </row>
    <row r="12" spans="1:7" ht="30.75" hidden="1">
      <c r="A12" s="17" t="s">
        <v>203</v>
      </c>
      <c r="B12" s="18" t="s">
        <v>204</v>
      </c>
      <c r="C12" s="19">
        <v>1053899</v>
      </c>
      <c r="D12" s="18" t="s">
        <v>206</v>
      </c>
      <c r="E12" s="18" t="s">
        <v>186</v>
      </c>
      <c r="F12" s="18"/>
      <c r="G12" s="25"/>
    </row>
    <row r="13" spans="1:7" ht="30.75" hidden="1">
      <c r="A13" s="17" t="s">
        <v>207</v>
      </c>
      <c r="B13" s="18" t="s">
        <v>208</v>
      </c>
      <c r="C13" s="19">
        <v>1053899</v>
      </c>
      <c r="D13" s="18" t="s">
        <v>206</v>
      </c>
      <c r="E13" s="18" t="s">
        <v>186</v>
      </c>
      <c r="F13" s="18"/>
      <c r="G13" s="18"/>
    </row>
    <row r="14" spans="1:7" hidden="1">
      <c r="A14" s="17" t="s">
        <v>207</v>
      </c>
      <c r="B14" s="18" t="s">
        <v>208</v>
      </c>
      <c r="C14" s="19">
        <v>1723608</v>
      </c>
      <c r="D14" s="18" t="s">
        <v>205</v>
      </c>
      <c r="E14" s="18" t="s">
        <v>186</v>
      </c>
      <c r="F14" s="18"/>
      <c r="G14" s="18"/>
    </row>
    <row r="15" spans="1:7" ht="30.75" hidden="1">
      <c r="A15" s="17" t="s">
        <v>209</v>
      </c>
      <c r="B15" s="18" t="s">
        <v>210</v>
      </c>
      <c r="C15" s="19">
        <v>1053899</v>
      </c>
      <c r="D15" s="18" t="s">
        <v>206</v>
      </c>
      <c r="E15" s="18" t="s">
        <v>186</v>
      </c>
      <c r="F15" s="18"/>
      <c r="G15" s="18"/>
    </row>
    <row r="16" spans="1:7" ht="30.75" hidden="1">
      <c r="A16" s="17" t="s">
        <v>211</v>
      </c>
      <c r="B16" s="18" t="s">
        <v>212</v>
      </c>
      <c r="C16" s="19">
        <v>2615250</v>
      </c>
      <c r="D16" s="18" t="s">
        <v>213</v>
      </c>
      <c r="E16" s="18" t="s">
        <v>186</v>
      </c>
      <c r="F16" s="18"/>
      <c r="G16" s="18" t="s">
        <v>198</v>
      </c>
    </row>
    <row r="17" spans="1:7" ht="45.75" hidden="1">
      <c r="A17" s="17" t="s">
        <v>211</v>
      </c>
      <c r="B17" s="18" t="s">
        <v>212</v>
      </c>
      <c r="C17" s="19">
        <v>4000000</v>
      </c>
      <c r="D17" s="18" t="s">
        <v>197</v>
      </c>
      <c r="E17" s="18" t="s">
        <v>186</v>
      </c>
      <c r="F17" s="18"/>
      <c r="G17" s="18" t="s">
        <v>198</v>
      </c>
    </row>
    <row r="18" spans="1:7" ht="30.75" hidden="1">
      <c r="A18" s="17" t="s">
        <v>211</v>
      </c>
      <c r="B18" s="18" t="s">
        <v>212</v>
      </c>
      <c r="C18" s="19">
        <v>1053899</v>
      </c>
      <c r="D18" s="18" t="s">
        <v>206</v>
      </c>
      <c r="E18" s="18" t="s">
        <v>186</v>
      </c>
      <c r="F18" s="18"/>
      <c r="G18" s="18"/>
    </row>
    <row r="19" spans="1:7" ht="30.75" hidden="1">
      <c r="A19" s="17" t="s">
        <v>214</v>
      </c>
      <c r="B19" s="18" t="s">
        <v>215</v>
      </c>
      <c r="C19" s="19">
        <v>1053899</v>
      </c>
      <c r="D19" s="18" t="s">
        <v>206</v>
      </c>
      <c r="E19" s="18" t="s">
        <v>186</v>
      </c>
      <c r="F19" s="18"/>
      <c r="G19" s="25"/>
    </row>
    <row r="20" spans="1:7" ht="30.75" hidden="1">
      <c r="A20" s="17" t="s">
        <v>216</v>
      </c>
      <c r="B20" s="18" t="s">
        <v>217</v>
      </c>
      <c r="C20" s="26">
        <v>2107798</v>
      </c>
      <c r="D20" s="18" t="s">
        <v>206</v>
      </c>
      <c r="E20" s="18" t="s">
        <v>186</v>
      </c>
      <c r="F20" s="21"/>
      <c r="G20" s="25"/>
    </row>
    <row r="21" spans="1:7" ht="30.75" hidden="1">
      <c r="A21" s="22" t="s">
        <v>218</v>
      </c>
      <c r="B21" s="24" t="s">
        <v>113</v>
      </c>
      <c r="C21" s="26">
        <v>11000000</v>
      </c>
      <c r="D21" s="18" t="s">
        <v>219</v>
      </c>
      <c r="E21" s="18" t="s">
        <v>186</v>
      </c>
      <c r="F21" s="18" t="s">
        <v>220</v>
      </c>
      <c r="G21" s="18" t="s">
        <v>221</v>
      </c>
    </row>
    <row r="22" spans="1:7" hidden="1">
      <c r="A22" s="17" t="s">
        <v>222</v>
      </c>
      <c r="B22" s="24" t="s">
        <v>223</v>
      </c>
      <c r="C22" s="26">
        <v>524971.28</v>
      </c>
      <c r="D22" s="18" t="s">
        <v>224</v>
      </c>
      <c r="E22" s="18" t="s">
        <v>186</v>
      </c>
      <c r="F22" s="18" t="s">
        <v>225</v>
      </c>
      <c r="G22" s="20"/>
    </row>
    <row r="23" spans="1:7" hidden="1">
      <c r="A23" s="17" t="s">
        <v>222</v>
      </c>
      <c r="B23" s="24" t="s">
        <v>226</v>
      </c>
      <c r="C23" s="26">
        <v>1101026.8600000001</v>
      </c>
      <c r="D23" s="18" t="s">
        <v>224</v>
      </c>
      <c r="E23" s="18" t="s">
        <v>186</v>
      </c>
      <c r="F23" s="18" t="s">
        <v>225</v>
      </c>
      <c r="G23" s="20"/>
    </row>
    <row r="24" spans="1:7" hidden="1">
      <c r="A24" s="17" t="s">
        <v>222</v>
      </c>
      <c r="B24" s="24" t="s">
        <v>227</v>
      </c>
      <c r="C24" s="26">
        <v>1455164.96</v>
      </c>
      <c r="D24" s="18" t="s">
        <v>224</v>
      </c>
      <c r="E24" s="18" t="s">
        <v>186</v>
      </c>
      <c r="F24" s="18" t="s">
        <v>225</v>
      </c>
      <c r="G24" s="20"/>
    </row>
    <row r="25" spans="1:7" hidden="1">
      <c r="A25" s="17" t="s">
        <v>222</v>
      </c>
      <c r="B25" s="24" t="s">
        <v>228</v>
      </c>
      <c r="C25" s="26">
        <v>1045062.3</v>
      </c>
      <c r="D25" s="18" t="s">
        <v>224</v>
      </c>
      <c r="E25" s="18" t="s">
        <v>186</v>
      </c>
      <c r="F25" s="18" t="s">
        <v>225</v>
      </c>
      <c r="G25" s="20"/>
    </row>
    <row r="26" spans="1:7" hidden="1">
      <c r="A26" s="17" t="s">
        <v>222</v>
      </c>
      <c r="B26" s="24" t="s">
        <v>229</v>
      </c>
      <c r="C26" s="26">
        <v>5883472.3600000003</v>
      </c>
      <c r="D26" s="18" t="s">
        <v>224</v>
      </c>
      <c r="E26" s="18" t="s">
        <v>186</v>
      </c>
      <c r="F26" s="18" t="s">
        <v>225</v>
      </c>
      <c r="G26" s="20"/>
    </row>
    <row r="27" spans="1:7" ht="30.75">
      <c r="A27" s="17" t="s">
        <v>174</v>
      </c>
      <c r="B27" s="18" t="s">
        <v>230</v>
      </c>
      <c r="C27" s="19">
        <v>54074736.200000003</v>
      </c>
      <c r="D27" s="11" t="s">
        <v>231</v>
      </c>
      <c r="E27" s="18" t="s">
        <v>232</v>
      </c>
      <c r="F27" s="18" t="s">
        <v>66</v>
      </c>
      <c r="G27" s="18"/>
    </row>
    <row r="28" spans="1:7" ht="45.75" hidden="1">
      <c r="A28" s="17" t="s">
        <v>214</v>
      </c>
      <c r="B28" s="18" t="s">
        <v>215</v>
      </c>
      <c r="C28" s="19">
        <v>4000000</v>
      </c>
      <c r="D28" s="18" t="s">
        <v>197</v>
      </c>
      <c r="E28" s="18" t="s">
        <v>232</v>
      </c>
      <c r="F28" s="18"/>
      <c r="G28" s="20" t="s">
        <v>233</v>
      </c>
    </row>
    <row r="29" spans="1:7" ht="30.75" hidden="1">
      <c r="A29" s="22" t="s">
        <v>234</v>
      </c>
      <c r="B29" s="18" t="s">
        <v>235</v>
      </c>
      <c r="C29" s="19">
        <v>8519736.2300000004</v>
      </c>
      <c r="D29" s="21" t="s">
        <v>236</v>
      </c>
      <c r="E29" s="18" t="s">
        <v>237</v>
      </c>
      <c r="F29" s="20" t="s">
        <v>238</v>
      </c>
      <c r="G29" s="21" t="s">
        <v>239</v>
      </c>
    </row>
    <row r="30" spans="1:7" ht="30.75" hidden="1">
      <c r="A30" s="22" t="s">
        <v>234</v>
      </c>
      <c r="B30" s="18" t="s">
        <v>235</v>
      </c>
      <c r="C30" s="19">
        <v>3223389</v>
      </c>
      <c r="D30" s="21" t="s">
        <v>240</v>
      </c>
      <c r="E30" s="18" t="s">
        <v>237</v>
      </c>
      <c r="F30" s="20" t="s">
        <v>238</v>
      </c>
      <c r="G30" s="21" t="s">
        <v>239</v>
      </c>
    </row>
    <row r="31" spans="1:7" ht="30.75" hidden="1">
      <c r="A31" s="22" t="s">
        <v>188</v>
      </c>
      <c r="B31" s="18" t="s">
        <v>189</v>
      </c>
      <c r="C31" s="19">
        <v>700000</v>
      </c>
      <c r="D31" s="18" t="s">
        <v>241</v>
      </c>
      <c r="E31" s="18" t="s">
        <v>237</v>
      </c>
      <c r="F31" s="18" t="s">
        <v>194</v>
      </c>
      <c r="G31" s="18"/>
    </row>
    <row r="32" spans="1:7" hidden="1">
      <c r="A32" s="17" t="s">
        <v>216</v>
      </c>
      <c r="B32" s="18" t="s">
        <v>217</v>
      </c>
      <c r="C32" s="19">
        <v>5000000</v>
      </c>
      <c r="D32" s="18" t="s">
        <v>242</v>
      </c>
      <c r="E32" s="18" t="s">
        <v>237</v>
      </c>
      <c r="F32" s="18"/>
      <c r="G32" s="18" t="s">
        <v>198</v>
      </c>
    </row>
    <row r="33" spans="1:7">
      <c r="A33" s="17" t="s">
        <v>174</v>
      </c>
      <c r="B33" s="18" t="s">
        <v>243</v>
      </c>
      <c r="C33" s="19">
        <v>9478203.6600000001</v>
      </c>
      <c r="D33" s="18" t="s">
        <v>244</v>
      </c>
      <c r="E33" s="18" t="s">
        <v>245</v>
      </c>
      <c r="F33" s="18" t="s">
        <v>246</v>
      </c>
      <c r="G33" s="18"/>
    </row>
    <row r="34" spans="1:7" ht="30.75">
      <c r="A34" s="17" t="s">
        <v>174</v>
      </c>
      <c r="B34" s="18" t="s">
        <v>247</v>
      </c>
      <c r="C34" s="19">
        <v>10354084</v>
      </c>
      <c r="D34" s="21" t="s">
        <v>248</v>
      </c>
      <c r="E34" s="18" t="s">
        <v>245</v>
      </c>
      <c r="F34" s="21" t="s">
        <v>249</v>
      </c>
      <c r="G34" s="27" t="s">
        <v>198</v>
      </c>
    </row>
    <row r="35" spans="1:7" ht="30.75">
      <c r="A35" s="17" t="s">
        <v>174</v>
      </c>
      <c r="B35" s="18" t="s">
        <v>250</v>
      </c>
      <c r="C35" s="19">
        <v>37174480</v>
      </c>
      <c r="D35" s="21" t="s">
        <v>251</v>
      </c>
      <c r="E35" s="18" t="s">
        <v>245</v>
      </c>
      <c r="F35" s="21"/>
      <c r="G35" s="18"/>
    </row>
    <row r="36" spans="1:7" hidden="1">
      <c r="A36" s="22" t="s">
        <v>234</v>
      </c>
      <c r="B36" s="18" t="s">
        <v>235</v>
      </c>
      <c r="C36" s="19">
        <v>5000000</v>
      </c>
      <c r="D36" s="18" t="s">
        <v>242</v>
      </c>
      <c r="E36" s="18" t="s">
        <v>245</v>
      </c>
      <c r="F36" s="18" t="s">
        <v>252</v>
      </c>
      <c r="G36" s="27" t="s">
        <v>253</v>
      </c>
    </row>
    <row r="37" spans="1:7" ht="30.75" hidden="1">
      <c r="A37" s="22" t="s">
        <v>234</v>
      </c>
      <c r="B37" s="18" t="s">
        <v>235</v>
      </c>
      <c r="C37" s="19">
        <v>2055737.5</v>
      </c>
      <c r="D37" s="20" t="s">
        <v>254</v>
      </c>
      <c r="E37" s="18" t="s">
        <v>245</v>
      </c>
      <c r="F37" s="20" t="s">
        <v>238</v>
      </c>
      <c r="G37" s="21" t="s">
        <v>239</v>
      </c>
    </row>
    <row r="38" spans="1:7" hidden="1">
      <c r="A38" s="22" t="s">
        <v>234</v>
      </c>
      <c r="B38" s="18" t="s">
        <v>235</v>
      </c>
      <c r="C38" s="19">
        <v>4200000</v>
      </c>
      <c r="D38" s="20" t="s">
        <v>255</v>
      </c>
      <c r="E38" s="18" t="s">
        <v>245</v>
      </c>
      <c r="F38" s="18" t="s">
        <v>252</v>
      </c>
      <c r="G38" s="27" t="s">
        <v>256</v>
      </c>
    </row>
    <row r="39" spans="1:7" hidden="1">
      <c r="A39" s="22" t="s">
        <v>234</v>
      </c>
      <c r="B39" s="18" t="s">
        <v>257</v>
      </c>
      <c r="C39" s="19">
        <v>1150000</v>
      </c>
      <c r="D39" s="18" t="s">
        <v>258</v>
      </c>
      <c r="E39" s="18" t="s">
        <v>245</v>
      </c>
      <c r="F39" s="18"/>
      <c r="G39" s="21"/>
    </row>
    <row r="40" spans="1:7" ht="30.75" hidden="1">
      <c r="A40" s="22" t="s">
        <v>234</v>
      </c>
      <c r="B40" s="18" t="s">
        <v>257</v>
      </c>
      <c r="C40" s="19">
        <v>2535000</v>
      </c>
      <c r="D40" s="18" t="s">
        <v>259</v>
      </c>
      <c r="E40" s="18" t="s">
        <v>245</v>
      </c>
      <c r="F40" s="18"/>
      <c r="G40" s="18"/>
    </row>
    <row r="41" spans="1:7" hidden="1">
      <c r="A41" s="22" t="s">
        <v>188</v>
      </c>
      <c r="B41" s="18" t="s">
        <v>260</v>
      </c>
      <c r="C41" s="23">
        <v>5000000</v>
      </c>
      <c r="D41" s="18" t="s">
        <v>242</v>
      </c>
      <c r="E41" s="18" t="s">
        <v>261</v>
      </c>
      <c r="F41" s="21" t="s">
        <v>194</v>
      </c>
      <c r="G41" s="27" t="s">
        <v>198</v>
      </c>
    </row>
    <row r="42" spans="1:7" ht="30.75" hidden="1">
      <c r="A42" s="22" t="s">
        <v>188</v>
      </c>
      <c r="B42" s="18" t="s">
        <v>189</v>
      </c>
      <c r="C42" s="19">
        <v>1820240</v>
      </c>
      <c r="D42" s="18" t="s">
        <v>262</v>
      </c>
      <c r="E42" s="18" t="s">
        <v>263</v>
      </c>
      <c r="F42" s="18"/>
      <c r="G42" s="27" t="s">
        <v>198</v>
      </c>
    </row>
    <row r="43" spans="1:7" ht="30.75" hidden="1">
      <c r="A43" s="17" t="s">
        <v>209</v>
      </c>
      <c r="B43" s="18" t="s">
        <v>264</v>
      </c>
      <c r="C43" s="19">
        <v>5000000</v>
      </c>
      <c r="D43" s="18" t="s">
        <v>242</v>
      </c>
      <c r="E43" s="18" t="s">
        <v>265</v>
      </c>
      <c r="F43" s="21"/>
      <c r="G43" s="18" t="s">
        <v>198</v>
      </c>
    </row>
    <row r="44" spans="1:7" hidden="1">
      <c r="A44" s="17" t="s">
        <v>203</v>
      </c>
      <c r="B44" s="18" t="s">
        <v>204</v>
      </c>
      <c r="C44" s="19">
        <v>1200000</v>
      </c>
      <c r="D44" s="18" t="s">
        <v>266</v>
      </c>
      <c r="E44" s="18" t="s">
        <v>267</v>
      </c>
      <c r="F44" s="18"/>
      <c r="G44" s="18" t="s">
        <v>198</v>
      </c>
    </row>
    <row r="45" spans="1:7" hidden="1">
      <c r="A45" s="28" t="s">
        <v>207</v>
      </c>
      <c r="B45" s="29" t="s">
        <v>208</v>
      </c>
      <c r="C45" s="30">
        <v>1500000</v>
      </c>
      <c r="D45" s="31" t="s">
        <v>266</v>
      </c>
      <c r="E45" s="18" t="s">
        <v>267</v>
      </c>
      <c r="F45" s="29"/>
      <c r="G45" s="29" t="s">
        <v>198</v>
      </c>
    </row>
    <row r="46" spans="1:7">
      <c r="A46" s="28"/>
      <c r="B46" s="32"/>
      <c r="C46" s="33">
        <f>SUBTOTAL(109,Tabela1114[[ Valor total ]])</f>
        <v>178236013.86000001</v>
      </c>
      <c r="D46" s="29"/>
      <c r="E46" s="29"/>
      <c r="F46" s="29"/>
      <c r="G46" s="29"/>
    </row>
  </sheetData>
  <hyperlinks>
    <hyperlink ref="D27" r:id="rId1" xr:uid="{0DEF4ACE-3551-4EE8-9235-BA2003B27D6C}"/>
    <hyperlink ref="D4" r:id="rId2" xr:uid="{AA0179E0-3BAA-4DE1-9C75-60D9641FA67C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DEBF3D31BE4940BC18129EC7CC8242" ma:contentTypeVersion="6" ma:contentTypeDescription="Crie um novo documento." ma:contentTypeScope="" ma:versionID="3f1722efa5fe76c715b7db70b2fd3be0">
  <xsd:schema xmlns:xsd="http://www.w3.org/2001/XMLSchema" xmlns:xs="http://www.w3.org/2001/XMLSchema" xmlns:p="http://schemas.microsoft.com/office/2006/metadata/properties" xmlns:ns2="525e23b6-0c50-47f2-9d69-251c5385d573" xmlns:ns3="b3fd0ceb-f02a-4f25-86b7-aab1317ac962" xmlns:ns4="a0bae8a9-a607-4983-93fd-fbb8a9ef4549" xmlns:ns5="ad928182-659b-498c-a343-7941773c0911" targetNamespace="http://schemas.microsoft.com/office/2006/metadata/properties" ma:root="true" ma:fieldsID="8ed6607a78c44eecac3c6b80464c4587" ns2:_="" ns3:_="" ns4:_="" ns5:_="">
    <xsd:import namespace="525e23b6-0c50-47f2-9d69-251c5385d573"/>
    <xsd:import namespace="b3fd0ceb-f02a-4f25-86b7-aab1317ac962"/>
    <xsd:import namespace="a0bae8a9-a607-4983-93fd-fbb8a9ef4549"/>
    <xsd:import namespace="ad928182-659b-498c-a343-7941773c0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e23b6-0c50-47f2-9d69-251c5385d5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0ceb-f02a-4f25-86b7-aab1317ac96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e8a9-a607-4983-93fd-fbb8a9ef45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e3898a-3c04-48db-a108-a558f1ade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28182-659b-498c-a343-7941773c0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f63830-d193-441b-9493-94159b90d24c}" ma:internalName="TaxCatchAll" ma:showField="CatchAllData" ma:web="ad928182-659b-498c-a343-7941773c0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928182-659b-498c-a343-7941773c0911" xsi:nil="true"/>
    <lcf76f155ced4ddcb4097134ff3c332f xmlns="a0bae8a9-a607-4983-93fd-fbb8a9ef45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0A6E2A-5C0C-420E-AF82-418134C4F98C}"/>
</file>

<file path=customXml/itemProps2.xml><?xml version="1.0" encoding="utf-8"?>
<ds:datastoreItem xmlns:ds="http://schemas.openxmlformats.org/officeDocument/2006/customXml" ds:itemID="{EB159B23-17F9-41DF-A304-696A22B2F91D}"/>
</file>

<file path=customXml/itemProps3.xml><?xml version="1.0" encoding="utf-8"?>
<ds:datastoreItem xmlns:ds="http://schemas.openxmlformats.org/officeDocument/2006/customXml" ds:itemID="{25C3F54A-B8AB-4943-8113-3A27E0EA4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Vinicius Guimaraes de Albuquerque Guedes</dc:creator>
  <cp:keywords/>
  <dc:description/>
  <cp:lastModifiedBy/>
  <cp:revision/>
  <dcterms:created xsi:type="dcterms:W3CDTF">2025-09-30T15:42:22Z</dcterms:created>
  <dcterms:modified xsi:type="dcterms:W3CDTF">2026-07-23T18:43:19Z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0x01010030DEBF3D31BE4940BC18129EC7CC8242</vt:lpwstr>
  </property>
  <property fmtid="{D5CDD505-2E9C-101B-9397-08002B2CF9AE}" pid="3" name="MediaServiceImageTags">
    <vt:lpwstr/>
  </property>
</Properties>
</file>